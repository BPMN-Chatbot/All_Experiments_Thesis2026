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E:\Seafile\Study\Thesis\Results\experiments\exp1-2\"/>
    </mc:Choice>
  </mc:AlternateContent>
  <xr:revisionPtr revIDLastSave="0" documentId="13_ncr:1_{90EDB86B-9C5C-4046-ACB4-99127BC782B9}" xr6:coauthVersionLast="47" xr6:coauthVersionMax="47" xr10:uidLastSave="{00000000-0000-0000-0000-000000000000}"/>
  <bookViews>
    <workbookView xWindow="340" yWindow="3020" windowWidth="12630" windowHeight="11170" xr2:uid="{9336CD10-A009-49F3-A5E4-9A9E329E5D94}"/>
  </bookViews>
  <sheets>
    <sheet name="Avg" sheetId="27" r:id="rId1"/>
    <sheet name="Jaccard" sheetId="28" r:id="rId2"/>
    <sheet name="Total (c1-c16)" sheetId="25" r:id="rId3"/>
    <sheet name="Total (c1-c12)" sheetId="17" r:id="rId4"/>
    <sheet name="Total (c13-c16)" sheetId="26" r:id="rId5"/>
    <sheet name="c1" sheetId="1" r:id="rId6"/>
    <sheet name="c2" sheetId="5" r:id="rId7"/>
    <sheet name="c3" sheetId="13" r:id="rId8"/>
    <sheet name="c4" sheetId="7" r:id="rId9"/>
    <sheet name="c5" sheetId="8" r:id="rId10"/>
    <sheet name="c6" sheetId="15" r:id="rId11"/>
    <sheet name="c7" sheetId="9" r:id="rId12"/>
    <sheet name="c8" sheetId="11" r:id="rId13"/>
    <sheet name="c9" sheetId="16" r:id="rId14"/>
    <sheet name="c10" sheetId="18" r:id="rId15"/>
    <sheet name="c11" sheetId="19" r:id="rId16"/>
    <sheet name="c12" sheetId="20" r:id="rId17"/>
    <sheet name="c13" sheetId="24" r:id="rId18"/>
    <sheet name="c14" sheetId="21" r:id="rId19"/>
    <sheet name="c15" sheetId="22" r:id="rId20"/>
    <sheet name="c16" sheetId="23"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7" i="27" l="1"/>
  <c r="L17" i="27"/>
  <c r="M16" i="27"/>
  <c r="L16" i="27"/>
  <c r="M15" i="27"/>
  <c r="L15" i="27"/>
  <c r="M14" i="27"/>
  <c r="L14" i="27"/>
  <c r="M13" i="27"/>
  <c r="L13" i="27"/>
  <c r="M12" i="27"/>
  <c r="L12" i="27"/>
  <c r="M11" i="27"/>
  <c r="L11" i="27"/>
  <c r="M10" i="27"/>
  <c r="L10" i="27"/>
  <c r="M9" i="27"/>
  <c r="L9" i="27"/>
  <c r="M8" i="27"/>
  <c r="L8" i="27"/>
  <c r="M7" i="27"/>
  <c r="L7" i="27"/>
  <c r="M6" i="27"/>
  <c r="L6" i="27"/>
  <c r="M5" i="27"/>
  <c r="L5" i="27"/>
  <c r="M4" i="27"/>
  <c r="L4" i="27"/>
  <c r="M3" i="27"/>
  <c r="L3" i="27"/>
  <c r="M2" i="27"/>
  <c r="L2" i="27"/>
  <c r="M23" i="27"/>
  <c r="M22" i="27"/>
  <c r="M21" i="27"/>
  <c r="M20" i="27"/>
  <c r="L23" i="27"/>
  <c r="L22" i="27"/>
  <c r="L21" i="27"/>
  <c r="L20" i="27"/>
  <c r="E22" i="28"/>
  <c r="E21" i="28"/>
  <c r="E20" i="28"/>
  <c r="E16" i="28"/>
  <c r="E15" i="28"/>
  <c r="E14" i="28"/>
  <c r="E13" i="28"/>
  <c r="E12" i="28"/>
  <c r="E11" i="28"/>
  <c r="E10" i="28"/>
  <c r="E9" i="28"/>
  <c r="E8" i="28"/>
  <c r="E7" i="28"/>
  <c r="E6" i="28"/>
  <c r="E5" i="28"/>
  <c r="E4" i="28"/>
  <c r="E3" i="28"/>
  <c r="E2" i="28"/>
  <c r="B6" i="28"/>
  <c r="B10" i="28"/>
  <c r="H23" i="27"/>
  <c r="G23" i="27"/>
  <c r="H22" i="27"/>
  <c r="G22" i="27"/>
  <c r="H21" i="27"/>
  <c r="G21" i="27"/>
  <c r="H20" i="27"/>
  <c r="G20" i="27"/>
  <c r="C23" i="27"/>
  <c r="C22" i="27"/>
  <c r="C21" i="27"/>
  <c r="C20" i="27"/>
  <c r="B22" i="27"/>
  <c r="B21" i="27"/>
  <c r="B20" i="27"/>
  <c r="D1" i="13"/>
  <c r="H5" i="24"/>
  <c r="G5" i="24"/>
  <c r="F5" i="24"/>
  <c r="E5" i="24"/>
  <c r="D5" i="24"/>
  <c r="H4" i="24"/>
  <c r="H2" i="24" s="1"/>
  <c r="G4" i="24"/>
  <c r="F4" i="24"/>
  <c r="F1" i="24" s="1"/>
  <c r="E4" i="24"/>
  <c r="E1" i="24" s="1"/>
  <c r="D4" i="24"/>
  <c r="C5" i="24"/>
  <c r="C4" i="24"/>
  <c r="H3" i="24"/>
  <c r="G3" i="24"/>
  <c r="F3" i="24"/>
  <c r="E3" i="24"/>
  <c r="D3" i="24"/>
  <c r="C3" i="24"/>
  <c r="H17" i="27"/>
  <c r="H16" i="27"/>
  <c r="H15" i="27"/>
  <c r="H13" i="27"/>
  <c r="H12" i="27"/>
  <c r="H11" i="27"/>
  <c r="H10" i="27"/>
  <c r="H9" i="27"/>
  <c r="H8" i="27"/>
  <c r="H7" i="27"/>
  <c r="H6" i="27"/>
  <c r="H5" i="27"/>
  <c r="H4" i="27"/>
  <c r="H3" i="27"/>
  <c r="H2" i="27"/>
  <c r="G17" i="27"/>
  <c r="G16" i="27"/>
  <c r="G15" i="27"/>
  <c r="G13" i="27"/>
  <c r="G12" i="27"/>
  <c r="G11" i="27"/>
  <c r="G10" i="27"/>
  <c r="G9" i="27"/>
  <c r="G8" i="27"/>
  <c r="G7" i="27"/>
  <c r="G6" i="27"/>
  <c r="G5" i="27"/>
  <c r="G4" i="27"/>
  <c r="G3" i="27"/>
  <c r="G2" i="27"/>
  <c r="C17" i="27"/>
  <c r="C16" i="27"/>
  <c r="C15" i="27"/>
  <c r="C13" i="27"/>
  <c r="C12" i="27"/>
  <c r="C11" i="27"/>
  <c r="C10" i="27"/>
  <c r="C9" i="27"/>
  <c r="C8" i="27"/>
  <c r="C7" i="27"/>
  <c r="C6" i="27"/>
  <c r="C5" i="27"/>
  <c r="C4" i="27"/>
  <c r="C3" i="27"/>
  <c r="B16" i="27"/>
  <c r="B15" i="27"/>
  <c r="B13" i="27"/>
  <c r="B12" i="27"/>
  <c r="B11" i="27"/>
  <c r="B10" i="27"/>
  <c r="B9" i="27"/>
  <c r="B8" i="27"/>
  <c r="B7" i="27"/>
  <c r="B6" i="27"/>
  <c r="B5" i="27"/>
  <c r="B4" i="27"/>
  <c r="B3" i="27"/>
  <c r="C2" i="27"/>
  <c r="B2" i="27"/>
  <c r="H7" i="23"/>
  <c r="G7" i="23"/>
  <c r="F7" i="23"/>
  <c r="E7" i="23"/>
  <c r="D7" i="23"/>
  <c r="C7" i="23"/>
  <c r="H6" i="23"/>
  <c r="G6" i="23"/>
  <c r="F6" i="23"/>
  <c r="E6" i="23"/>
  <c r="D6" i="23"/>
  <c r="C6" i="23"/>
  <c r="H5" i="23"/>
  <c r="G5" i="23"/>
  <c r="F5" i="23"/>
  <c r="E5" i="23"/>
  <c r="D5" i="23"/>
  <c r="C5" i="23"/>
  <c r="H4" i="23"/>
  <c r="G4" i="23"/>
  <c r="F4" i="23"/>
  <c r="E4" i="23"/>
  <c r="D4" i="23"/>
  <c r="C4" i="23"/>
  <c r="H3" i="23"/>
  <c r="G3" i="23"/>
  <c r="F3" i="23"/>
  <c r="E3" i="23"/>
  <c r="D3" i="23"/>
  <c r="C3" i="23"/>
  <c r="H7" i="22"/>
  <c r="G7" i="22"/>
  <c r="F7" i="22"/>
  <c r="E7" i="22"/>
  <c r="D7" i="22"/>
  <c r="C7" i="22"/>
  <c r="H6" i="22"/>
  <c r="G6" i="22"/>
  <c r="F6" i="22"/>
  <c r="E6" i="22"/>
  <c r="D6" i="22"/>
  <c r="C6" i="22"/>
  <c r="H5" i="22"/>
  <c r="G5" i="22"/>
  <c r="F5" i="22"/>
  <c r="E5" i="22"/>
  <c r="D5" i="22"/>
  <c r="C5" i="22"/>
  <c r="H4" i="22"/>
  <c r="G4" i="22"/>
  <c r="F4" i="22"/>
  <c r="E4" i="22"/>
  <c r="D4" i="22"/>
  <c r="C4" i="22"/>
  <c r="H3" i="22"/>
  <c r="G3" i="22"/>
  <c r="F3" i="22"/>
  <c r="E3" i="22"/>
  <c r="D3" i="22"/>
  <c r="C3" i="22"/>
  <c r="H7" i="21"/>
  <c r="G7" i="21"/>
  <c r="F7" i="21"/>
  <c r="E7" i="21"/>
  <c r="D7" i="21"/>
  <c r="C7" i="21"/>
  <c r="H6" i="21"/>
  <c r="G6" i="21"/>
  <c r="F6" i="21"/>
  <c r="E6" i="21"/>
  <c r="D6" i="21"/>
  <c r="C6" i="21"/>
  <c r="H5" i="5"/>
  <c r="G5" i="5"/>
  <c r="F5" i="5"/>
  <c r="E5" i="5"/>
  <c r="D5" i="5"/>
  <c r="C5" i="5"/>
  <c r="H4" i="5"/>
  <c r="G4" i="5"/>
  <c r="F4" i="5"/>
  <c r="E4" i="5"/>
  <c r="D4" i="5"/>
  <c r="C4" i="5"/>
  <c r="C6" i="24"/>
  <c r="H3" i="18"/>
  <c r="G3" i="18"/>
  <c r="F3" i="18"/>
  <c r="E3" i="18"/>
  <c r="D3" i="18"/>
  <c r="H3" i="19"/>
  <c r="G3" i="19"/>
  <c r="F3" i="19"/>
  <c r="E3" i="19"/>
  <c r="D3" i="19"/>
  <c r="C3" i="19"/>
  <c r="H5" i="20"/>
  <c r="G5" i="20"/>
  <c r="F5" i="20"/>
  <c r="E5" i="20"/>
  <c r="D5" i="20"/>
  <c r="C5" i="20"/>
  <c r="H4" i="20"/>
  <c r="G4" i="20"/>
  <c r="F4" i="20"/>
  <c r="E4" i="20"/>
  <c r="D4" i="20"/>
  <c r="C4" i="20"/>
  <c r="H3" i="20"/>
  <c r="G3" i="20"/>
  <c r="F3" i="20"/>
  <c r="E3" i="20"/>
  <c r="D3" i="20"/>
  <c r="C3" i="20"/>
  <c r="H4" i="18"/>
  <c r="G4" i="18"/>
  <c r="F4" i="18"/>
  <c r="E4" i="18"/>
  <c r="D4" i="18"/>
  <c r="H5" i="18"/>
  <c r="G5" i="18"/>
  <c r="F5" i="18"/>
  <c r="E5" i="18"/>
  <c r="D5" i="18"/>
  <c r="C4" i="18"/>
  <c r="H5" i="19"/>
  <c r="G5" i="19"/>
  <c r="F5" i="19"/>
  <c r="E5" i="19"/>
  <c r="D5" i="19"/>
  <c r="C5" i="19"/>
  <c r="H4" i="19"/>
  <c r="G4" i="19"/>
  <c r="F4" i="19"/>
  <c r="E4" i="19"/>
  <c r="D4" i="19"/>
  <c r="C4" i="19"/>
  <c r="C5" i="18"/>
  <c r="C3" i="18"/>
  <c r="E3" i="7"/>
  <c r="C3" i="5"/>
  <c r="C1" i="5" s="1"/>
  <c r="D3" i="5"/>
  <c r="D1" i="5" s="1"/>
  <c r="E3" i="5"/>
  <c r="E1" i="5" s="1"/>
  <c r="F3" i="5"/>
  <c r="F1" i="5" s="1"/>
  <c r="G3" i="5"/>
  <c r="G1" i="5" s="1"/>
  <c r="H3" i="5"/>
  <c r="H1" i="5" s="1"/>
  <c r="K3" i="5" a="1"/>
  <c r="K3" i="5" s="1"/>
  <c r="R3" i="5" a="1"/>
  <c r="R3" i="5" s="1"/>
  <c r="K4" i="5" a="1"/>
  <c r="K4" i="5" s="1"/>
  <c r="L4" i="5" a="1"/>
  <c r="L4" i="5" s="1"/>
  <c r="R4" i="5" a="1"/>
  <c r="R4" i="5" s="1"/>
  <c r="S4" i="5" a="1"/>
  <c r="S4" i="5" s="1"/>
  <c r="K5" i="5" a="1"/>
  <c r="K5" i="5" s="1"/>
  <c r="L5" i="5" a="1"/>
  <c r="L5" i="5" s="1"/>
  <c r="M5" i="5" a="1"/>
  <c r="M5" i="5" s="1"/>
  <c r="R5" i="5" a="1"/>
  <c r="R5" i="5" s="1"/>
  <c r="S5" i="5" a="1"/>
  <c r="S5" i="5" s="1"/>
  <c r="T5" i="5" a="1"/>
  <c r="T5" i="5" s="1"/>
  <c r="C6" i="5"/>
  <c r="D6" i="5"/>
  <c r="E6" i="5"/>
  <c r="F6" i="5"/>
  <c r="G6" i="5"/>
  <c r="H6" i="5"/>
  <c r="K6" i="5" a="1"/>
  <c r="K6" i="5" s="1"/>
  <c r="L6" i="5" a="1"/>
  <c r="L6" i="5" s="1"/>
  <c r="M6" i="5" a="1"/>
  <c r="M6" i="5" s="1"/>
  <c r="N6" i="5" a="1"/>
  <c r="N6" i="5" s="1"/>
  <c r="R6" i="5" a="1"/>
  <c r="R6" i="5" s="1"/>
  <c r="S6" i="5" a="1"/>
  <c r="S6" i="5" s="1"/>
  <c r="T6" i="5" a="1"/>
  <c r="T6" i="5" s="1"/>
  <c r="U6" i="5" a="1"/>
  <c r="U6" i="5" s="1"/>
  <c r="C7" i="5"/>
  <c r="D7" i="5"/>
  <c r="E7" i="5"/>
  <c r="F7" i="5"/>
  <c r="G7" i="5"/>
  <c r="H7" i="5"/>
  <c r="K7" i="5" a="1"/>
  <c r="K7" i="5" s="1"/>
  <c r="L7" i="5" a="1"/>
  <c r="L7" i="5" s="1"/>
  <c r="M7" i="5" a="1"/>
  <c r="M7" i="5" s="1"/>
  <c r="N7" i="5" a="1"/>
  <c r="N7" i="5" s="1"/>
  <c r="O7" i="5" a="1"/>
  <c r="O7" i="5" s="1"/>
  <c r="R7" i="5" a="1"/>
  <c r="R7" i="5" s="1"/>
  <c r="S7" i="5" a="1"/>
  <c r="S7" i="5" s="1"/>
  <c r="T7" i="5" a="1"/>
  <c r="T7" i="5" s="1"/>
  <c r="U7" i="5" a="1"/>
  <c r="U7" i="5" s="1"/>
  <c r="V7" i="5" a="1"/>
  <c r="V7" i="5" s="1"/>
  <c r="C3" i="13"/>
  <c r="C1" i="13" s="1"/>
  <c r="D3" i="13"/>
  <c r="E3" i="13"/>
  <c r="E1" i="13" s="1"/>
  <c r="F3" i="13"/>
  <c r="F1" i="13" s="1"/>
  <c r="G3" i="13"/>
  <c r="G1" i="13" s="1"/>
  <c r="H3" i="13"/>
  <c r="H1" i="13" s="1"/>
  <c r="K3" i="13" a="1"/>
  <c r="K3" i="13" s="1"/>
  <c r="R3" i="13" a="1"/>
  <c r="R3" i="13" s="1"/>
  <c r="C4" i="13"/>
  <c r="D4" i="13"/>
  <c r="E4" i="13"/>
  <c r="F4" i="13"/>
  <c r="G4" i="13"/>
  <c r="H4" i="13"/>
  <c r="K4" i="13" a="1"/>
  <c r="K4" i="13" s="1"/>
  <c r="L4" i="13" a="1"/>
  <c r="L4" i="13" s="1"/>
  <c r="R4" i="13" a="1"/>
  <c r="R4" i="13" s="1"/>
  <c r="S4" i="13" a="1"/>
  <c r="S4" i="13" s="1"/>
  <c r="C5" i="13"/>
  <c r="D5" i="13"/>
  <c r="E5" i="13"/>
  <c r="F5" i="13"/>
  <c r="G5" i="13"/>
  <c r="H5" i="13"/>
  <c r="K5" i="13" a="1"/>
  <c r="K5" i="13" s="1"/>
  <c r="L5" i="13" a="1"/>
  <c r="L5" i="13" s="1"/>
  <c r="M5" i="13" a="1"/>
  <c r="M5" i="13" s="1"/>
  <c r="R5" i="13" a="1"/>
  <c r="R5" i="13" s="1"/>
  <c r="S5" i="13" a="1"/>
  <c r="S5" i="13" s="1"/>
  <c r="T5" i="13" a="1"/>
  <c r="T5" i="13" s="1"/>
  <c r="C6" i="13"/>
  <c r="D6" i="13"/>
  <c r="E6" i="13"/>
  <c r="F6" i="13"/>
  <c r="G6" i="13"/>
  <c r="H6" i="13"/>
  <c r="K6" i="13" a="1"/>
  <c r="K6" i="13" s="1"/>
  <c r="L6" i="13" a="1"/>
  <c r="L6" i="13" s="1"/>
  <c r="M6" i="13" a="1"/>
  <c r="M6" i="13"/>
  <c r="N6" i="13" a="1"/>
  <c r="N6" i="13" s="1"/>
  <c r="R6" i="13" a="1"/>
  <c r="R6" i="13" s="1"/>
  <c r="S6" i="13" a="1"/>
  <c r="S6" i="13" s="1"/>
  <c r="T6" i="13" a="1"/>
  <c r="T6" i="13" s="1"/>
  <c r="U6" i="13" a="1"/>
  <c r="U6" i="13" s="1"/>
  <c r="C7" i="13"/>
  <c r="D7" i="13"/>
  <c r="E7" i="13"/>
  <c r="F7" i="13"/>
  <c r="G7" i="13"/>
  <c r="H7" i="13"/>
  <c r="K7" i="13" a="1"/>
  <c r="K7" i="13" s="1"/>
  <c r="L7" i="13" a="1"/>
  <c r="L7" i="13" s="1"/>
  <c r="M7" i="13" a="1"/>
  <c r="M7" i="13" s="1"/>
  <c r="N7" i="13" a="1"/>
  <c r="N7" i="13" s="1"/>
  <c r="O7" i="13" a="1"/>
  <c r="O7" i="13" s="1"/>
  <c r="R7" i="13" a="1"/>
  <c r="R7" i="13" s="1"/>
  <c r="S7" i="13" a="1"/>
  <c r="S7" i="13" s="1"/>
  <c r="T7" i="13" a="1"/>
  <c r="T7" i="13" s="1"/>
  <c r="U7" i="13" a="1"/>
  <c r="U7" i="13" s="1"/>
  <c r="V7" i="13" a="1"/>
  <c r="V7" i="13" s="1"/>
  <c r="C3" i="7"/>
  <c r="C1" i="7" s="1"/>
  <c r="D3" i="7"/>
  <c r="D1" i="7" s="1"/>
  <c r="E1" i="7"/>
  <c r="F3" i="7"/>
  <c r="F1" i="7" s="1"/>
  <c r="G3" i="7"/>
  <c r="G1" i="7" s="1"/>
  <c r="H3" i="7"/>
  <c r="H1" i="7" s="1"/>
  <c r="K3" i="7" a="1"/>
  <c r="K3" i="7" s="1"/>
  <c r="R3" i="7" a="1"/>
  <c r="R3" i="7"/>
  <c r="C4" i="7"/>
  <c r="D4" i="7"/>
  <c r="E4" i="7"/>
  <c r="F4" i="7"/>
  <c r="G4" i="7"/>
  <c r="H4" i="7"/>
  <c r="K4" i="7" a="1"/>
  <c r="K4" i="7" s="1"/>
  <c r="L4" i="7" a="1"/>
  <c r="L4" i="7" s="1"/>
  <c r="R4" i="7" a="1"/>
  <c r="R4" i="7" s="1"/>
  <c r="S4" i="7" a="1"/>
  <c r="S4" i="7" s="1"/>
  <c r="C5" i="7"/>
  <c r="D5" i="7"/>
  <c r="E5" i="7"/>
  <c r="F5" i="7"/>
  <c r="G5" i="7"/>
  <c r="H5" i="7"/>
  <c r="K5" i="7" a="1"/>
  <c r="K5" i="7" s="1"/>
  <c r="L5" i="7" a="1"/>
  <c r="L5" i="7"/>
  <c r="M5" i="7" a="1"/>
  <c r="M5" i="7" s="1"/>
  <c r="R5" i="7" a="1"/>
  <c r="R5" i="7" s="1"/>
  <c r="S5" i="7" a="1"/>
  <c r="S5" i="7" s="1"/>
  <c r="T5" i="7" a="1"/>
  <c r="T5" i="7" s="1"/>
  <c r="C6" i="7"/>
  <c r="D6" i="7"/>
  <c r="E6" i="7"/>
  <c r="F6" i="7"/>
  <c r="G6" i="7"/>
  <c r="H6" i="7"/>
  <c r="K6" i="7" a="1"/>
  <c r="K6" i="7" s="1"/>
  <c r="L6" i="7" a="1"/>
  <c r="L6" i="7" s="1"/>
  <c r="M6" i="7" a="1"/>
  <c r="M6" i="7" s="1"/>
  <c r="N6" i="7" a="1"/>
  <c r="N6" i="7" s="1"/>
  <c r="R6" i="7" a="1"/>
  <c r="R6" i="7" s="1"/>
  <c r="S6" i="7" a="1"/>
  <c r="S6" i="7" s="1"/>
  <c r="T6" i="7" a="1"/>
  <c r="T6" i="7" s="1"/>
  <c r="U6" i="7" a="1"/>
  <c r="U6" i="7" s="1"/>
  <c r="C7" i="7"/>
  <c r="D7" i="7"/>
  <c r="E7" i="7"/>
  <c r="F7" i="7"/>
  <c r="G7" i="7"/>
  <c r="H7" i="7"/>
  <c r="K7" i="7" a="1"/>
  <c r="K7" i="7" s="1"/>
  <c r="L7" i="7" a="1"/>
  <c r="L7" i="7" s="1"/>
  <c r="M7" i="7" a="1"/>
  <c r="M7" i="7" s="1"/>
  <c r="N7" i="7" a="1"/>
  <c r="N7" i="7" s="1"/>
  <c r="O7" i="7" a="1"/>
  <c r="O7" i="7" s="1"/>
  <c r="R7" i="7" a="1"/>
  <c r="R7" i="7" s="1"/>
  <c r="S7" i="7" a="1"/>
  <c r="S7" i="7" s="1"/>
  <c r="T7" i="7" a="1"/>
  <c r="T7" i="7" s="1"/>
  <c r="U7" i="7" a="1"/>
  <c r="U7" i="7" s="1"/>
  <c r="V7" i="7" a="1"/>
  <c r="V7" i="7" s="1"/>
  <c r="D3" i="1"/>
  <c r="C3" i="1"/>
  <c r="V7" i="23" a="1"/>
  <c r="V7" i="23" s="1"/>
  <c r="U7" i="23" a="1"/>
  <c r="U7" i="23" s="1"/>
  <c r="T7" i="23" a="1"/>
  <c r="T7" i="23" s="1"/>
  <c r="S7" i="23" a="1"/>
  <c r="S7" i="23" s="1"/>
  <c r="R7" i="23" a="1"/>
  <c r="R7" i="23" s="1"/>
  <c r="O7" i="23" a="1"/>
  <c r="O7" i="23" s="1"/>
  <c r="N7" i="23" a="1"/>
  <c r="N7" i="23" s="1"/>
  <c r="M7" i="23" a="1"/>
  <c r="M7" i="23" s="1"/>
  <c r="L7" i="23" a="1"/>
  <c r="L7" i="23" s="1"/>
  <c r="K7" i="23" a="1"/>
  <c r="K7" i="23" s="1"/>
  <c r="U6" i="23" a="1"/>
  <c r="U6" i="23" s="1"/>
  <c r="T6" i="23" a="1"/>
  <c r="T6" i="23" s="1"/>
  <c r="S6" i="23" a="1"/>
  <c r="S6" i="23" s="1"/>
  <c r="R6" i="23" a="1"/>
  <c r="R6" i="23" s="1"/>
  <c r="N6" i="23" a="1"/>
  <c r="N6" i="23" s="1"/>
  <c r="M6" i="23" a="1"/>
  <c r="M6" i="23" s="1"/>
  <c r="L6" i="23" a="1"/>
  <c r="L6" i="23" s="1"/>
  <c r="K6" i="23" a="1"/>
  <c r="K6" i="23" s="1"/>
  <c r="T5" i="23" a="1"/>
  <c r="T5" i="23" s="1"/>
  <c r="S5" i="23" a="1"/>
  <c r="S5" i="23" s="1"/>
  <c r="R5" i="23" a="1"/>
  <c r="R5" i="23" s="1"/>
  <c r="M5" i="23" a="1"/>
  <c r="M5" i="23" s="1"/>
  <c r="L5" i="23" a="1"/>
  <c r="L5" i="23" s="1"/>
  <c r="K5" i="23" a="1"/>
  <c r="K5" i="23" s="1"/>
  <c r="B7" i="28" s="1"/>
  <c r="S4" i="23" a="1"/>
  <c r="S4" i="23" s="1"/>
  <c r="R4" i="23" a="1"/>
  <c r="R4" i="23" s="1"/>
  <c r="L4" i="23" a="1"/>
  <c r="L4" i="23" s="1"/>
  <c r="K4" i="23" a="1"/>
  <c r="K4" i="23" s="1"/>
  <c r="G2" i="23"/>
  <c r="R3" i="23" a="1"/>
  <c r="R3" i="23" s="1"/>
  <c r="B9" i="28" s="1"/>
  <c r="K3" i="23" a="1"/>
  <c r="K3" i="23" s="1"/>
  <c r="V7" i="22" a="1"/>
  <c r="V7" i="22" s="1"/>
  <c r="U7" i="22" a="1"/>
  <c r="U7" i="22" s="1"/>
  <c r="T7" i="22" a="1"/>
  <c r="T7" i="22" s="1"/>
  <c r="S7" i="22" a="1"/>
  <c r="S7" i="22" s="1"/>
  <c r="R7" i="22" a="1"/>
  <c r="R7" i="22" s="1"/>
  <c r="O7" i="22" a="1"/>
  <c r="O7" i="22" s="1"/>
  <c r="N7" i="22" a="1"/>
  <c r="N7" i="22" s="1"/>
  <c r="M7" i="22" a="1"/>
  <c r="M7" i="22" s="1"/>
  <c r="L7" i="22" a="1"/>
  <c r="L7" i="22" s="1"/>
  <c r="K7" i="22" a="1"/>
  <c r="K7" i="22" s="1"/>
  <c r="U6" i="22" a="1"/>
  <c r="U6" i="22" s="1"/>
  <c r="T6" i="22" a="1"/>
  <c r="T6" i="22" s="1"/>
  <c r="S6" i="22" a="1"/>
  <c r="S6" i="22" s="1"/>
  <c r="R6" i="22" a="1"/>
  <c r="R6" i="22" s="1"/>
  <c r="N6" i="22" a="1"/>
  <c r="N6" i="22" s="1"/>
  <c r="M6" i="22" a="1"/>
  <c r="M6" i="22" s="1"/>
  <c r="L6" i="22" a="1"/>
  <c r="L6" i="22" s="1"/>
  <c r="K6" i="22" a="1"/>
  <c r="K6" i="22" s="1"/>
  <c r="T5" i="22" a="1"/>
  <c r="T5" i="22" s="1"/>
  <c r="S5" i="22" a="1"/>
  <c r="S5" i="22" s="1"/>
  <c r="R5" i="22" a="1"/>
  <c r="R5" i="22" s="1"/>
  <c r="M5" i="22" a="1"/>
  <c r="M5" i="22" s="1"/>
  <c r="L5" i="22" a="1"/>
  <c r="L5" i="22" s="1"/>
  <c r="K5" i="22" a="1"/>
  <c r="K5" i="22" s="1"/>
  <c r="S4" i="22" a="1"/>
  <c r="S4" i="22" s="1"/>
  <c r="R4" i="22" a="1"/>
  <c r="R4" i="22" s="1"/>
  <c r="L4" i="22" a="1"/>
  <c r="L4" i="22" s="1"/>
  <c r="K4" i="22" a="1"/>
  <c r="K4" i="22" s="1"/>
  <c r="R3" i="22" a="1"/>
  <c r="R3" i="22" s="1"/>
  <c r="K3" i="22" a="1"/>
  <c r="K3" i="22" s="1"/>
  <c r="H5" i="21"/>
  <c r="G5" i="21"/>
  <c r="F5" i="21"/>
  <c r="E5" i="21"/>
  <c r="D5" i="21"/>
  <c r="H4" i="21"/>
  <c r="G4" i="21"/>
  <c r="F4" i="21"/>
  <c r="E4" i="21"/>
  <c r="D4" i="21"/>
  <c r="D2" i="21" s="1"/>
  <c r="H3" i="21"/>
  <c r="G3" i="21"/>
  <c r="F3" i="21"/>
  <c r="E3" i="21"/>
  <c r="D3" i="21"/>
  <c r="C5" i="21"/>
  <c r="C4" i="21"/>
  <c r="C3" i="21"/>
  <c r="H7" i="24"/>
  <c r="G7" i="24"/>
  <c r="F7" i="24"/>
  <c r="E7" i="24"/>
  <c r="H6" i="24"/>
  <c r="G6" i="24"/>
  <c r="F6" i="24"/>
  <c r="E6" i="24"/>
  <c r="G1" i="24"/>
  <c r="D7" i="24"/>
  <c r="D6" i="24"/>
  <c r="D2" i="24"/>
  <c r="C7" i="24"/>
  <c r="V7" i="24" a="1"/>
  <c r="V7" i="24" s="1"/>
  <c r="U7" i="24" a="1"/>
  <c r="U7" i="24" s="1"/>
  <c r="T7" i="24" a="1"/>
  <c r="T7" i="24" s="1"/>
  <c r="S7" i="24" a="1"/>
  <c r="S7" i="24" s="1"/>
  <c r="R7" i="24" a="1"/>
  <c r="R7" i="24" s="1"/>
  <c r="O7" i="24" a="1"/>
  <c r="O7" i="24" s="1"/>
  <c r="N7" i="24" a="1"/>
  <c r="N7" i="24" s="1"/>
  <c r="M7" i="24" a="1"/>
  <c r="M7" i="24" s="1"/>
  <c r="L7" i="24" a="1"/>
  <c r="L7" i="24" s="1"/>
  <c r="K7" i="24" a="1"/>
  <c r="K7" i="24" s="1"/>
  <c r="U6" i="24" a="1"/>
  <c r="U6" i="24" s="1"/>
  <c r="T6" i="24" a="1"/>
  <c r="T6" i="24" s="1"/>
  <c r="S6" i="24" a="1"/>
  <c r="S6" i="24" s="1"/>
  <c r="R6" i="24" a="1"/>
  <c r="R6" i="24" s="1"/>
  <c r="N6" i="24" a="1"/>
  <c r="N6" i="24" s="1"/>
  <c r="M6" i="24" a="1"/>
  <c r="M6" i="24" s="1"/>
  <c r="L6" i="24" a="1"/>
  <c r="L6" i="24" s="1"/>
  <c r="K6" i="24" a="1"/>
  <c r="K6" i="24" s="1"/>
  <c r="T5" i="24" a="1"/>
  <c r="T5" i="24" s="1"/>
  <c r="S5" i="24" a="1"/>
  <c r="S5" i="24" s="1"/>
  <c r="R5" i="24" a="1"/>
  <c r="R5" i="24" s="1"/>
  <c r="M5" i="24" a="1"/>
  <c r="M5" i="24" s="1"/>
  <c r="L5" i="24" a="1"/>
  <c r="L5" i="24" s="1"/>
  <c r="K5" i="24" a="1"/>
  <c r="K5" i="24" s="1"/>
  <c r="S4" i="24" a="1"/>
  <c r="S4" i="24" s="1"/>
  <c r="R4" i="24" a="1"/>
  <c r="R4" i="24" s="1"/>
  <c r="L4" i="24" a="1"/>
  <c r="L4" i="24" s="1"/>
  <c r="K4" i="24" a="1"/>
  <c r="K4" i="24" s="1"/>
  <c r="R3" i="24" a="1"/>
  <c r="R3" i="24" s="1"/>
  <c r="K3" i="24" a="1"/>
  <c r="K3" i="24" s="1"/>
  <c r="V7" i="21" a="1"/>
  <c r="V7" i="21" s="1"/>
  <c r="U7" i="21" a="1"/>
  <c r="U7" i="21" s="1"/>
  <c r="T7" i="21" a="1"/>
  <c r="T7" i="21" s="1"/>
  <c r="S7" i="21" a="1"/>
  <c r="S7" i="21" s="1"/>
  <c r="R7" i="21" a="1"/>
  <c r="R7" i="21" s="1"/>
  <c r="O7" i="21" a="1"/>
  <c r="O7" i="21" s="1"/>
  <c r="N7" i="21" a="1"/>
  <c r="N7" i="21" s="1"/>
  <c r="M7" i="21" a="1"/>
  <c r="M7" i="21" s="1"/>
  <c r="L7" i="21" a="1"/>
  <c r="L7" i="21" s="1"/>
  <c r="K7" i="21" a="1"/>
  <c r="K7" i="21" s="1"/>
  <c r="U6" i="21" a="1"/>
  <c r="U6" i="21" s="1"/>
  <c r="T6" i="21" a="1"/>
  <c r="T6" i="21" s="1"/>
  <c r="S6" i="21" a="1"/>
  <c r="S6" i="21" s="1"/>
  <c r="R6" i="21" a="1"/>
  <c r="R6" i="21" s="1"/>
  <c r="N6" i="21" a="1"/>
  <c r="N6" i="21" s="1"/>
  <c r="M6" i="21" a="1"/>
  <c r="M6" i="21" s="1"/>
  <c r="L6" i="21" a="1"/>
  <c r="L6" i="21" s="1"/>
  <c r="K6" i="21" a="1"/>
  <c r="K6" i="21" s="1"/>
  <c r="T5" i="21" a="1"/>
  <c r="T5" i="21" s="1"/>
  <c r="S5" i="21" a="1"/>
  <c r="S5" i="21" s="1"/>
  <c r="R5" i="21" a="1"/>
  <c r="R5" i="21" s="1"/>
  <c r="M5" i="21" a="1"/>
  <c r="M5" i="21" s="1"/>
  <c r="L5" i="21" a="1"/>
  <c r="L5" i="21" s="1"/>
  <c r="K5" i="21" a="1"/>
  <c r="K5" i="21" s="1"/>
  <c r="S4" i="21" a="1"/>
  <c r="S4" i="21" s="1"/>
  <c r="R4" i="21" a="1"/>
  <c r="R4" i="21" s="1"/>
  <c r="L4" i="21" a="1"/>
  <c r="L4" i="21" s="1"/>
  <c r="K4" i="21" a="1"/>
  <c r="K4" i="21" s="1"/>
  <c r="R3" i="21" a="1"/>
  <c r="R3" i="21" s="1"/>
  <c r="K3" i="21" a="1"/>
  <c r="K3" i="21" s="1"/>
  <c r="V7" i="20" a="1"/>
  <c r="V7" i="20" s="1"/>
  <c r="U7" i="20" a="1"/>
  <c r="U7" i="20" s="1"/>
  <c r="T7" i="20"/>
  <c r="T7" i="20" a="1"/>
  <c r="S7" i="20" a="1"/>
  <c r="S7" i="20" s="1"/>
  <c r="R7" i="20" a="1"/>
  <c r="R7" i="20" s="1"/>
  <c r="O7" i="20" a="1"/>
  <c r="O7" i="20" s="1"/>
  <c r="N7" i="20" a="1"/>
  <c r="N7" i="20" s="1"/>
  <c r="M7" i="20" a="1"/>
  <c r="M7" i="20" s="1"/>
  <c r="L7" i="20" a="1"/>
  <c r="L7" i="20" s="1"/>
  <c r="K7" i="20" a="1"/>
  <c r="K7" i="20" s="1"/>
  <c r="U6" i="20" a="1"/>
  <c r="U6" i="20" s="1"/>
  <c r="T6" i="20" a="1"/>
  <c r="T6" i="20" s="1"/>
  <c r="S6" i="20" a="1"/>
  <c r="S6" i="20" s="1"/>
  <c r="R6" i="20" a="1"/>
  <c r="R6" i="20" s="1"/>
  <c r="N6" i="20" a="1"/>
  <c r="N6" i="20" s="1"/>
  <c r="M6" i="20" a="1"/>
  <c r="M6" i="20" s="1"/>
  <c r="L6" i="20" a="1"/>
  <c r="L6" i="20" s="1"/>
  <c r="K6" i="20" a="1"/>
  <c r="K6" i="20" s="1"/>
  <c r="T5" i="20" a="1"/>
  <c r="T5" i="20" s="1"/>
  <c r="S5" i="20" a="1"/>
  <c r="S5" i="20" s="1"/>
  <c r="R5" i="20" a="1"/>
  <c r="R5" i="20" s="1"/>
  <c r="M5" i="20" a="1"/>
  <c r="M5" i="20" s="1"/>
  <c r="L5" i="20" a="1"/>
  <c r="L5" i="20" s="1"/>
  <c r="K5" i="20" a="1"/>
  <c r="K5" i="20" s="1"/>
  <c r="S4" i="20" a="1"/>
  <c r="S4" i="20" s="1"/>
  <c r="R4" i="20" a="1"/>
  <c r="R4" i="20" s="1"/>
  <c r="L4" i="20" a="1"/>
  <c r="L4" i="20" s="1"/>
  <c r="K4" i="20" a="1"/>
  <c r="K4" i="20" s="1"/>
  <c r="R3" i="20" a="1"/>
  <c r="R3" i="20" s="1"/>
  <c r="K3" i="20" a="1"/>
  <c r="K3" i="20" s="1"/>
  <c r="V7" i="19" a="1"/>
  <c r="V7" i="19" s="1"/>
  <c r="U7" i="19" a="1"/>
  <c r="U7" i="19" s="1"/>
  <c r="T7" i="19" a="1"/>
  <c r="T7" i="19" s="1"/>
  <c r="S7" i="19" a="1"/>
  <c r="S7" i="19" s="1"/>
  <c r="R7" i="19" a="1"/>
  <c r="R7" i="19" s="1"/>
  <c r="O7" i="19" a="1"/>
  <c r="O7" i="19" s="1"/>
  <c r="N7" i="19" a="1"/>
  <c r="N7" i="19" s="1"/>
  <c r="M7" i="19" a="1"/>
  <c r="M7" i="19" s="1"/>
  <c r="L7" i="19" a="1"/>
  <c r="L7" i="19" s="1"/>
  <c r="K7" i="19" a="1"/>
  <c r="K7" i="19" s="1"/>
  <c r="U6" i="19" a="1"/>
  <c r="U6" i="19" s="1"/>
  <c r="T6" i="19" a="1"/>
  <c r="T6" i="19" s="1"/>
  <c r="S6" i="19" a="1"/>
  <c r="S6" i="19" s="1"/>
  <c r="R6" i="19" a="1"/>
  <c r="R6" i="19" s="1"/>
  <c r="N6" i="19" a="1"/>
  <c r="N6" i="19" s="1"/>
  <c r="M6" i="19" a="1"/>
  <c r="M6" i="19" s="1"/>
  <c r="L6" i="19" a="1"/>
  <c r="L6" i="19" s="1"/>
  <c r="K6" i="19" a="1"/>
  <c r="K6" i="19" s="1"/>
  <c r="T5" i="19" a="1"/>
  <c r="T5" i="19" s="1"/>
  <c r="S5" i="19" a="1"/>
  <c r="S5" i="19" s="1"/>
  <c r="R5" i="19" a="1"/>
  <c r="R5" i="19" s="1"/>
  <c r="M5" i="19" a="1"/>
  <c r="M5" i="19" s="1"/>
  <c r="L5" i="19" a="1"/>
  <c r="L5" i="19" s="1"/>
  <c r="K5" i="19" a="1"/>
  <c r="K5" i="19" s="1"/>
  <c r="S4" i="19" a="1"/>
  <c r="S4" i="19" s="1"/>
  <c r="R4" i="19" a="1"/>
  <c r="R4" i="19" s="1"/>
  <c r="L4" i="19" a="1"/>
  <c r="L4" i="19" s="1"/>
  <c r="K4" i="19" a="1"/>
  <c r="K4" i="19" s="1"/>
  <c r="R3" i="19" a="1"/>
  <c r="R3" i="19" s="1"/>
  <c r="K3" i="19" a="1"/>
  <c r="K3" i="19" s="1"/>
  <c r="V7" i="18"/>
  <c r="V7" i="18" a="1"/>
  <c r="U7" i="18" a="1"/>
  <c r="U7" i="18" s="1"/>
  <c r="T7" i="18" a="1"/>
  <c r="T7" i="18" s="1"/>
  <c r="S7" i="18" a="1"/>
  <c r="S7" i="18" s="1"/>
  <c r="R7" i="18" a="1"/>
  <c r="R7" i="18" s="1"/>
  <c r="O7" i="18" a="1"/>
  <c r="O7" i="18" s="1"/>
  <c r="N7" i="18" a="1"/>
  <c r="N7" i="18" s="1"/>
  <c r="M7" i="18" a="1"/>
  <c r="M7" i="18" s="1"/>
  <c r="L7" i="18" a="1"/>
  <c r="L7" i="18" s="1"/>
  <c r="K7" i="18" a="1"/>
  <c r="K7" i="18" s="1"/>
  <c r="U6" i="18" a="1"/>
  <c r="U6" i="18" s="1"/>
  <c r="T6" i="18" a="1"/>
  <c r="T6" i="18" s="1"/>
  <c r="S6" i="18" a="1"/>
  <c r="S6" i="18" s="1"/>
  <c r="R6" i="18" a="1"/>
  <c r="R6" i="18" s="1"/>
  <c r="N6" i="18" a="1"/>
  <c r="N6" i="18" s="1"/>
  <c r="M6" i="18" a="1"/>
  <c r="M6" i="18" s="1"/>
  <c r="L6" i="18" a="1"/>
  <c r="L6" i="18" s="1"/>
  <c r="K6" i="18" a="1"/>
  <c r="K6" i="18" s="1"/>
  <c r="T5" i="18" a="1"/>
  <c r="T5" i="18" s="1"/>
  <c r="S5" i="18" a="1"/>
  <c r="S5" i="18" s="1"/>
  <c r="R5" i="18" a="1"/>
  <c r="R5" i="18" s="1"/>
  <c r="M5" i="18" a="1"/>
  <c r="M5" i="18" s="1"/>
  <c r="L5" i="18" a="1"/>
  <c r="L5" i="18" s="1"/>
  <c r="K5" i="18" a="1"/>
  <c r="K5" i="18" s="1"/>
  <c r="S4" i="18" a="1"/>
  <c r="S4" i="18" s="1"/>
  <c r="R4" i="18" a="1"/>
  <c r="R4" i="18" s="1"/>
  <c r="L4" i="18" a="1"/>
  <c r="L4" i="18" s="1"/>
  <c r="K4" i="18" a="1"/>
  <c r="K4" i="18" s="1"/>
  <c r="R3" i="18" a="1"/>
  <c r="R3" i="18" s="1"/>
  <c r="K3" i="18" a="1"/>
  <c r="K3" i="18" s="1"/>
  <c r="V7" i="16" a="1"/>
  <c r="V7" i="16" s="1"/>
  <c r="U7" i="16" a="1"/>
  <c r="U7" i="16" s="1"/>
  <c r="T7" i="16" a="1"/>
  <c r="T7" i="16" s="1"/>
  <c r="S7" i="16" a="1"/>
  <c r="S7" i="16" s="1"/>
  <c r="R7" i="16" a="1"/>
  <c r="R7" i="16" s="1"/>
  <c r="O7" i="16" a="1"/>
  <c r="O7" i="16" s="1"/>
  <c r="N7" i="16" a="1"/>
  <c r="N7" i="16" s="1"/>
  <c r="M7" i="16" a="1"/>
  <c r="M7" i="16" s="1"/>
  <c r="L7" i="16" a="1"/>
  <c r="L7" i="16" s="1"/>
  <c r="K7" i="16" a="1"/>
  <c r="K7" i="16" s="1"/>
  <c r="U6" i="16" a="1"/>
  <c r="U6" i="16" s="1"/>
  <c r="T6" i="16" a="1"/>
  <c r="T6" i="16" s="1"/>
  <c r="S6" i="16" a="1"/>
  <c r="S6" i="16" s="1"/>
  <c r="R6" i="16" a="1"/>
  <c r="R6" i="16" s="1"/>
  <c r="N6" i="16" a="1"/>
  <c r="N6" i="16" s="1"/>
  <c r="M6" i="16" a="1"/>
  <c r="M6" i="16" s="1"/>
  <c r="L6" i="16" a="1"/>
  <c r="L6" i="16" s="1"/>
  <c r="K6" i="16" a="1"/>
  <c r="K6" i="16" s="1"/>
  <c r="T5" i="16" a="1"/>
  <c r="T5" i="16" s="1"/>
  <c r="S5" i="16" a="1"/>
  <c r="S5" i="16" s="1"/>
  <c r="R5" i="16" a="1"/>
  <c r="R5" i="16" s="1"/>
  <c r="M5" i="16" a="1"/>
  <c r="M5" i="16" s="1"/>
  <c r="L5" i="16" a="1"/>
  <c r="L5" i="16" s="1"/>
  <c r="K5" i="16" a="1"/>
  <c r="K5" i="16" s="1"/>
  <c r="S4" i="16" a="1"/>
  <c r="S4" i="16" s="1"/>
  <c r="R4" i="16" a="1"/>
  <c r="R4" i="16" s="1"/>
  <c r="L4" i="16" a="1"/>
  <c r="L4" i="16" s="1"/>
  <c r="K4" i="16" a="1"/>
  <c r="K4" i="16" s="1"/>
  <c r="R3" i="16" a="1"/>
  <c r="R3" i="16" s="1"/>
  <c r="K3" i="16" a="1"/>
  <c r="K3" i="16" s="1"/>
  <c r="V7" i="11" a="1"/>
  <c r="V7" i="11" s="1"/>
  <c r="U7" i="11" a="1"/>
  <c r="U7" i="11" s="1"/>
  <c r="T7" i="11"/>
  <c r="T7" i="11" a="1"/>
  <c r="S7" i="11" a="1"/>
  <c r="S7" i="11" s="1"/>
  <c r="R7" i="11" a="1"/>
  <c r="R7" i="11" s="1"/>
  <c r="O7" i="11" a="1"/>
  <c r="O7" i="11" s="1"/>
  <c r="N7" i="11" a="1"/>
  <c r="N7" i="11" s="1"/>
  <c r="M7" i="11" a="1"/>
  <c r="M7" i="11" s="1"/>
  <c r="L7" i="11" a="1"/>
  <c r="L7" i="11" s="1"/>
  <c r="K7" i="11" a="1"/>
  <c r="K7" i="11" s="1"/>
  <c r="U6" i="11" a="1"/>
  <c r="U6" i="11" s="1"/>
  <c r="T6" i="11" a="1"/>
  <c r="T6" i="11" s="1"/>
  <c r="S6" i="11" a="1"/>
  <c r="S6" i="11" s="1"/>
  <c r="R6" i="11" a="1"/>
  <c r="R6" i="11" s="1"/>
  <c r="N6" i="11"/>
  <c r="N6" i="11" a="1"/>
  <c r="M6" i="11" a="1"/>
  <c r="M6" i="11" s="1"/>
  <c r="L6" i="11" a="1"/>
  <c r="L6" i="11" s="1"/>
  <c r="K6" i="11" a="1"/>
  <c r="K6" i="11" s="1"/>
  <c r="T5" i="11" a="1"/>
  <c r="T5" i="11" s="1"/>
  <c r="S5" i="11" a="1"/>
  <c r="S5" i="11" s="1"/>
  <c r="R5" i="11" a="1"/>
  <c r="R5" i="11" s="1"/>
  <c r="M5" i="11" a="1"/>
  <c r="M5" i="11" s="1"/>
  <c r="L5" i="11" a="1"/>
  <c r="L5" i="11" s="1"/>
  <c r="K5" i="11" a="1"/>
  <c r="K5" i="11" s="1"/>
  <c r="S4" i="11" a="1"/>
  <c r="S4" i="11" s="1"/>
  <c r="R4" i="11" a="1"/>
  <c r="R4" i="11" s="1"/>
  <c r="L4" i="11"/>
  <c r="L4" i="11" a="1"/>
  <c r="K4" i="11" a="1"/>
  <c r="K4" i="11" s="1"/>
  <c r="R3" i="11" a="1"/>
  <c r="R3" i="11" s="1"/>
  <c r="K3" i="11" a="1"/>
  <c r="K3" i="11" s="1"/>
  <c r="V7" i="9" a="1"/>
  <c r="V7" i="9" s="1"/>
  <c r="U7" i="9" a="1"/>
  <c r="U7" i="9" s="1"/>
  <c r="T7" i="9"/>
  <c r="T7" i="9" a="1"/>
  <c r="S7" i="9" a="1"/>
  <c r="S7" i="9" s="1"/>
  <c r="R7" i="9" a="1"/>
  <c r="R7" i="9" s="1"/>
  <c r="O7" i="9" a="1"/>
  <c r="O7" i="9" s="1"/>
  <c r="N7" i="9" a="1"/>
  <c r="N7" i="9" s="1"/>
  <c r="M7" i="9" a="1"/>
  <c r="M7" i="9" s="1"/>
  <c r="L7" i="9" a="1"/>
  <c r="L7" i="9" s="1"/>
  <c r="K7" i="9" a="1"/>
  <c r="K7" i="9" s="1"/>
  <c r="U6" i="9" a="1"/>
  <c r="U6" i="9" s="1"/>
  <c r="T6" i="9" a="1"/>
  <c r="T6" i="9" s="1"/>
  <c r="S6" i="9" a="1"/>
  <c r="S6" i="9" s="1"/>
  <c r="R6" i="9" a="1"/>
  <c r="R6" i="9" s="1"/>
  <c r="N6" i="9" a="1"/>
  <c r="N6" i="9" s="1"/>
  <c r="M6" i="9" a="1"/>
  <c r="M6" i="9" s="1"/>
  <c r="L6" i="9" a="1"/>
  <c r="L6" i="9" s="1"/>
  <c r="K6" i="9" a="1"/>
  <c r="K6" i="9" s="1"/>
  <c r="T5" i="9" a="1"/>
  <c r="T5" i="9" s="1"/>
  <c r="S5" i="9" a="1"/>
  <c r="S5" i="9" s="1"/>
  <c r="R5" i="9" a="1"/>
  <c r="R5" i="9" s="1"/>
  <c r="M5" i="9" a="1"/>
  <c r="M5" i="9" s="1"/>
  <c r="L5" i="9" a="1"/>
  <c r="L5" i="9" s="1"/>
  <c r="K5" i="9" a="1"/>
  <c r="K5" i="9" s="1"/>
  <c r="S4" i="9" a="1"/>
  <c r="S4" i="9" s="1"/>
  <c r="R4" i="9" a="1"/>
  <c r="R4" i="9" s="1"/>
  <c r="L4" i="9" a="1"/>
  <c r="L4" i="9" s="1"/>
  <c r="K4" i="9" a="1"/>
  <c r="K4" i="9" s="1"/>
  <c r="R3" i="9" a="1"/>
  <c r="R3" i="9" s="1"/>
  <c r="K3" i="9" a="1"/>
  <c r="K3" i="9" s="1"/>
  <c r="V7" i="15" a="1"/>
  <c r="V7" i="15" s="1"/>
  <c r="U7" i="15" a="1"/>
  <c r="U7" i="15" s="1"/>
  <c r="T7" i="15" a="1"/>
  <c r="T7" i="15" s="1"/>
  <c r="S7" i="15" a="1"/>
  <c r="S7" i="15" s="1"/>
  <c r="R7" i="15" a="1"/>
  <c r="R7" i="15" s="1"/>
  <c r="O7" i="15" a="1"/>
  <c r="O7" i="15" s="1"/>
  <c r="N7" i="15" a="1"/>
  <c r="N7" i="15" s="1"/>
  <c r="M7" i="15" a="1"/>
  <c r="M7" i="15" s="1"/>
  <c r="L7" i="15" a="1"/>
  <c r="L7" i="15" s="1"/>
  <c r="K7" i="15" a="1"/>
  <c r="K7" i="15" s="1"/>
  <c r="U6" i="15" a="1"/>
  <c r="U6" i="15" s="1"/>
  <c r="T6" i="15" a="1"/>
  <c r="T6" i="15" s="1"/>
  <c r="S6" i="15" a="1"/>
  <c r="S6" i="15" s="1"/>
  <c r="R6" i="15" a="1"/>
  <c r="R6" i="15" s="1"/>
  <c r="N6" i="15" a="1"/>
  <c r="N6" i="15" s="1"/>
  <c r="M6" i="15" a="1"/>
  <c r="M6" i="15" s="1"/>
  <c r="L6" i="15" a="1"/>
  <c r="L6" i="15" s="1"/>
  <c r="K6" i="15" a="1"/>
  <c r="K6" i="15" s="1"/>
  <c r="T5" i="15" a="1"/>
  <c r="T5" i="15" s="1"/>
  <c r="S5" i="15" a="1"/>
  <c r="S5" i="15" s="1"/>
  <c r="R5" i="15" a="1"/>
  <c r="R5" i="15" s="1"/>
  <c r="M5" i="15" a="1"/>
  <c r="M5" i="15" s="1"/>
  <c r="L5" i="15" a="1"/>
  <c r="L5" i="15" s="1"/>
  <c r="K5" i="15" a="1"/>
  <c r="K5" i="15" s="1"/>
  <c r="S4" i="15" a="1"/>
  <c r="S4" i="15" s="1"/>
  <c r="R4" i="15" a="1"/>
  <c r="R4" i="15" s="1"/>
  <c r="L4" i="15" a="1"/>
  <c r="L4" i="15" s="1"/>
  <c r="K4" i="15" a="1"/>
  <c r="K4" i="15" s="1"/>
  <c r="R3" i="15" a="1"/>
  <c r="R3" i="15" s="1"/>
  <c r="K3" i="15" a="1"/>
  <c r="K3" i="15" s="1"/>
  <c r="V7" i="8" a="1"/>
  <c r="V7" i="8" s="1"/>
  <c r="U7" i="8" a="1"/>
  <c r="U7" i="8" s="1"/>
  <c r="T7" i="8" a="1"/>
  <c r="T7" i="8" s="1"/>
  <c r="S7" i="8" a="1"/>
  <c r="S7" i="8" s="1"/>
  <c r="R7" i="8" a="1"/>
  <c r="R7" i="8" s="1"/>
  <c r="O7" i="8" a="1"/>
  <c r="O7" i="8" s="1"/>
  <c r="N7" i="8" a="1"/>
  <c r="N7" i="8" s="1"/>
  <c r="M7" i="8" a="1"/>
  <c r="M7" i="8" s="1"/>
  <c r="L7" i="8" a="1"/>
  <c r="L7" i="8" s="1"/>
  <c r="K7" i="8" a="1"/>
  <c r="K7" i="8" s="1"/>
  <c r="U6" i="8" a="1"/>
  <c r="U6" i="8" s="1"/>
  <c r="T6" i="8" a="1"/>
  <c r="T6" i="8" s="1"/>
  <c r="S6" i="8" a="1"/>
  <c r="S6" i="8" s="1"/>
  <c r="R6" i="8" a="1"/>
  <c r="R6" i="8" s="1"/>
  <c r="N6" i="8" a="1"/>
  <c r="N6" i="8" s="1"/>
  <c r="M6" i="8" a="1"/>
  <c r="M6" i="8" s="1"/>
  <c r="L6" i="8" a="1"/>
  <c r="L6" i="8" s="1"/>
  <c r="K6" i="8" a="1"/>
  <c r="K6" i="8" s="1"/>
  <c r="T5" i="8" a="1"/>
  <c r="T5" i="8" s="1"/>
  <c r="S5" i="8" a="1"/>
  <c r="S5" i="8" s="1"/>
  <c r="R5" i="8" a="1"/>
  <c r="R5" i="8" s="1"/>
  <c r="M5" i="8" a="1"/>
  <c r="M5" i="8" s="1"/>
  <c r="L5" i="8" a="1"/>
  <c r="L5" i="8" s="1"/>
  <c r="K5" i="8" a="1"/>
  <c r="K5" i="8" s="1"/>
  <c r="S4" i="8" a="1"/>
  <c r="S4" i="8" s="1"/>
  <c r="R4" i="8" a="1"/>
  <c r="R4" i="8" s="1"/>
  <c r="L4" i="8" a="1"/>
  <c r="L4" i="8" s="1"/>
  <c r="K4" i="8" a="1"/>
  <c r="K4" i="8" s="1"/>
  <c r="R3" i="8" a="1"/>
  <c r="R3" i="8" s="1"/>
  <c r="K3" i="8" a="1"/>
  <c r="K3" i="8" s="1"/>
  <c r="V7" i="1" a="1"/>
  <c r="V7" i="1" s="1"/>
  <c r="O7" i="1" a="1"/>
  <c r="O7" i="1" s="1"/>
  <c r="U7" i="1" a="1"/>
  <c r="U7" i="1" s="1"/>
  <c r="N7" i="1" a="1"/>
  <c r="N7" i="1" s="1"/>
  <c r="U6" i="1" a="1"/>
  <c r="U6" i="1" s="1"/>
  <c r="N6" i="1" a="1"/>
  <c r="N6" i="1" s="1"/>
  <c r="M5" i="1" a="1"/>
  <c r="M5" i="1" s="1"/>
  <c r="T7" i="1" a="1"/>
  <c r="T7" i="1" s="1"/>
  <c r="T6" i="1" a="1"/>
  <c r="T6" i="1" s="1"/>
  <c r="T5" i="1" a="1"/>
  <c r="T5" i="1" s="1"/>
  <c r="S7" i="1" a="1"/>
  <c r="S7" i="1" s="1"/>
  <c r="S6" i="1" a="1"/>
  <c r="S6" i="1" s="1"/>
  <c r="S5" i="1" a="1"/>
  <c r="S5" i="1" s="1"/>
  <c r="S4" i="1" a="1"/>
  <c r="S4" i="1" s="1"/>
  <c r="R7" i="1" a="1"/>
  <c r="R7" i="1" s="1"/>
  <c r="R6" i="1" a="1"/>
  <c r="R6" i="1" s="1"/>
  <c r="R5" i="1" a="1"/>
  <c r="R5" i="1" s="1"/>
  <c r="R4" i="1" a="1"/>
  <c r="R4" i="1" s="1"/>
  <c r="K5" i="1" a="1"/>
  <c r="K5" i="1" s="1"/>
  <c r="R3" i="1" a="1"/>
  <c r="R3" i="1" s="1"/>
  <c r="M7" i="1" a="1"/>
  <c r="M7" i="1" s="1"/>
  <c r="M6" i="1" a="1"/>
  <c r="M6" i="1" s="1"/>
  <c r="L7" i="1" a="1"/>
  <c r="L7" i="1" s="1"/>
  <c r="L5" i="1" a="1"/>
  <c r="L5" i="1" s="1"/>
  <c r="L4" i="1" a="1"/>
  <c r="L4" i="1" s="1"/>
  <c r="K7" i="1" a="1"/>
  <c r="K7" i="1" s="1"/>
  <c r="K6" i="1" a="1"/>
  <c r="K6" i="1" s="1"/>
  <c r="K4" i="1" a="1"/>
  <c r="K4" i="1" s="1"/>
  <c r="K3" i="1" a="1"/>
  <c r="K3" i="1" s="1"/>
  <c r="F7" i="20"/>
  <c r="F6" i="20"/>
  <c r="F2" i="20"/>
  <c r="F1" i="20"/>
  <c r="B11" i="28" l="1"/>
  <c r="E23" i="28"/>
  <c r="B5" i="28"/>
  <c r="E17" i="28"/>
  <c r="B6" i="26"/>
  <c r="B10" i="26"/>
  <c r="B5" i="26"/>
  <c r="B11" i="26"/>
  <c r="B9" i="26"/>
  <c r="B7" i="26"/>
  <c r="G2" i="24"/>
  <c r="D1" i="24"/>
  <c r="E2" i="24"/>
  <c r="F2" i="24"/>
  <c r="H1" i="24"/>
  <c r="C14" i="27" s="1"/>
  <c r="H2" i="5"/>
  <c r="G2" i="5"/>
  <c r="F2" i="5"/>
  <c r="E2" i="5"/>
  <c r="D2" i="5"/>
  <c r="C2" i="5"/>
  <c r="H2" i="13"/>
  <c r="G2" i="13"/>
  <c r="F2" i="13"/>
  <c r="E2" i="13"/>
  <c r="D2" i="13"/>
  <c r="C2" i="13"/>
  <c r="H2" i="7"/>
  <c r="G2" i="7"/>
  <c r="F2" i="7"/>
  <c r="E2" i="7"/>
  <c r="D2" i="7"/>
  <c r="C2" i="7"/>
  <c r="B6" i="17"/>
  <c r="B6" i="25"/>
  <c r="B10" i="17"/>
  <c r="B10" i="25"/>
  <c r="B7" i="25"/>
  <c r="B11" i="25"/>
  <c r="B11" i="17"/>
  <c r="B9" i="25"/>
  <c r="B9" i="17"/>
  <c r="B5" i="25"/>
  <c r="B5" i="17"/>
  <c r="D1" i="23"/>
  <c r="C2" i="23"/>
  <c r="H2" i="23"/>
  <c r="E1" i="23"/>
  <c r="G1" i="23"/>
  <c r="F2" i="23"/>
  <c r="C1" i="23"/>
  <c r="D2" i="23"/>
  <c r="E2" i="23"/>
  <c r="H1" i="23"/>
  <c r="F1" i="23"/>
  <c r="F1" i="22"/>
  <c r="E2" i="22"/>
  <c r="D1" i="22"/>
  <c r="G1" i="22"/>
  <c r="H1" i="22"/>
  <c r="C1" i="22"/>
  <c r="G2" i="22"/>
  <c r="D2" i="22"/>
  <c r="C2" i="22"/>
  <c r="H2" i="22"/>
  <c r="E1" i="22"/>
  <c r="F2" i="22"/>
  <c r="H2" i="21"/>
  <c r="E2" i="21"/>
  <c r="G2" i="21"/>
  <c r="F1" i="21"/>
  <c r="F2" i="21"/>
  <c r="D1" i="21"/>
  <c r="E1" i="21"/>
  <c r="G1" i="21"/>
  <c r="H1" i="21"/>
  <c r="C2" i="24"/>
  <c r="C1" i="24"/>
  <c r="C1" i="21"/>
  <c r="C2" i="21"/>
  <c r="H7" i="20"/>
  <c r="G7" i="20"/>
  <c r="E7" i="20"/>
  <c r="D7" i="20"/>
  <c r="C7" i="20"/>
  <c r="H6" i="20"/>
  <c r="G6" i="20"/>
  <c r="E6" i="20"/>
  <c r="D6" i="20"/>
  <c r="C6" i="20"/>
  <c r="H7" i="19"/>
  <c r="G7" i="19"/>
  <c r="F7" i="19"/>
  <c r="E7" i="19"/>
  <c r="D7" i="19"/>
  <c r="C7" i="19"/>
  <c r="H6" i="19"/>
  <c r="G6" i="19"/>
  <c r="F6" i="19"/>
  <c r="E6" i="19"/>
  <c r="D6" i="19"/>
  <c r="C6" i="19"/>
  <c r="H7" i="18"/>
  <c r="G7" i="18"/>
  <c r="F7" i="18"/>
  <c r="E7" i="18"/>
  <c r="D7" i="18"/>
  <c r="C7" i="18"/>
  <c r="H6" i="18"/>
  <c r="G6" i="18"/>
  <c r="F6" i="18"/>
  <c r="E6" i="18"/>
  <c r="D6" i="18"/>
  <c r="C6" i="18"/>
  <c r="L6" i="1" a="1"/>
  <c r="L6" i="1" s="1"/>
  <c r="H7" i="15"/>
  <c r="G7" i="15"/>
  <c r="F7" i="15"/>
  <c r="E7" i="15"/>
  <c r="D7" i="15"/>
  <c r="H6" i="15"/>
  <c r="G6" i="15"/>
  <c r="F6" i="15"/>
  <c r="E6" i="15"/>
  <c r="D6" i="15"/>
  <c r="C7" i="15"/>
  <c r="C6" i="15"/>
  <c r="H7" i="16"/>
  <c r="G7" i="16"/>
  <c r="F7" i="16"/>
  <c r="E7" i="16"/>
  <c r="D7" i="16"/>
  <c r="C7" i="16"/>
  <c r="H6" i="16"/>
  <c r="G6" i="16"/>
  <c r="F6" i="16"/>
  <c r="E6" i="16"/>
  <c r="D6" i="16"/>
  <c r="C6" i="16"/>
  <c r="H5" i="16"/>
  <c r="G5" i="16"/>
  <c r="F5" i="16"/>
  <c r="E5" i="16"/>
  <c r="D5" i="16"/>
  <c r="C5" i="16"/>
  <c r="H4" i="16"/>
  <c r="G4" i="16"/>
  <c r="F4" i="16"/>
  <c r="E4" i="16"/>
  <c r="D4" i="16"/>
  <c r="C4" i="16"/>
  <c r="H3" i="16"/>
  <c r="H2" i="16" s="1"/>
  <c r="G3" i="16"/>
  <c r="G2" i="16" s="1"/>
  <c r="F3" i="16"/>
  <c r="F2" i="16" s="1"/>
  <c r="E3" i="16"/>
  <c r="E2" i="16" s="1"/>
  <c r="D3" i="16"/>
  <c r="D2" i="16" s="1"/>
  <c r="C3" i="16"/>
  <c r="C2" i="16" s="1"/>
  <c r="H5" i="15"/>
  <c r="G5" i="15"/>
  <c r="F5" i="15"/>
  <c r="F2" i="15" s="1"/>
  <c r="E5" i="15"/>
  <c r="D5" i="15"/>
  <c r="C5" i="15"/>
  <c r="H4" i="15"/>
  <c r="G4" i="15"/>
  <c r="F4" i="15"/>
  <c r="E4" i="15"/>
  <c r="D4" i="15"/>
  <c r="C4" i="15"/>
  <c r="H3" i="15"/>
  <c r="H2" i="15" s="1"/>
  <c r="G3" i="15"/>
  <c r="G2" i="15" s="1"/>
  <c r="F3" i="15"/>
  <c r="F1" i="15" s="1"/>
  <c r="E3" i="15"/>
  <c r="E2" i="15" s="1"/>
  <c r="D3" i="15"/>
  <c r="D1" i="15" s="1"/>
  <c r="C3" i="15"/>
  <c r="C1" i="15" s="1"/>
  <c r="H7" i="11"/>
  <c r="G7" i="11"/>
  <c r="F7" i="11"/>
  <c r="E7" i="11"/>
  <c r="D7" i="11"/>
  <c r="H6" i="11"/>
  <c r="G6" i="11"/>
  <c r="F6" i="11"/>
  <c r="E6" i="11"/>
  <c r="D6" i="11"/>
  <c r="H5" i="11"/>
  <c r="G5" i="11"/>
  <c r="F5" i="11"/>
  <c r="E5" i="11"/>
  <c r="D5" i="11"/>
  <c r="H4" i="11"/>
  <c r="G4" i="11"/>
  <c r="F4" i="11"/>
  <c r="E4" i="11"/>
  <c r="D4" i="11"/>
  <c r="H3" i="11"/>
  <c r="H2" i="11" s="1"/>
  <c r="G3" i="11"/>
  <c r="G2" i="11" s="1"/>
  <c r="F3" i="11"/>
  <c r="F1" i="11" s="1"/>
  <c r="E3" i="11"/>
  <c r="E1" i="11" s="1"/>
  <c r="D3" i="11"/>
  <c r="D2" i="11" s="1"/>
  <c r="C7" i="11"/>
  <c r="C6" i="11"/>
  <c r="C5" i="11"/>
  <c r="C4" i="11"/>
  <c r="C2" i="11" s="1"/>
  <c r="C3" i="11"/>
  <c r="H3" i="9"/>
  <c r="H2" i="9" s="1"/>
  <c r="G3" i="9"/>
  <c r="G2" i="9" s="1"/>
  <c r="F3" i="9"/>
  <c r="F2" i="9" s="1"/>
  <c r="E3" i="9"/>
  <c r="E2" i="9" s="1"/>
  <c r="D3" i="9"/>
  <c r="D2" i="9" s="1"/>
  <c r="C3" i="9"/>
  <c r="C2" i="9" s="1"/>
  <c r="H7" i="9"/>
  <c r="G7" i="9"/>
  <c r="F7" i="9"/>
  <c r="E7" i="9"/>
  <c r="D7" i="9"/>
  <c r="H6" i="9"/>
  <c r="G6" i="9"/>
  <c r="F6" i="9"/>
  <c r="E6" i="9"/>
  <c r="D6" i="9"/>
  <c r="H5" i="9"/>
  <c r="G5" i="9"/>
  <c r="F5" i="9"/>
  <c r="E5" i="9"/>
  <c r="D5" i="9"/>
  <c r="H4" i="9"/>
  <c r="H1" i="9" s="1"/>
  <c r="G4" i="9"/>
  <c r="G1" i="9" s="1"/>
  <c r="F4" i="9"/>
  <c r="E4" i="9"/>
  <c r="D4" i="9"/>
  <c r="C7" i="9"/>
  <c r="C6" i="9"/>
  <c r="C5" i="9"/>
  <c r="C4" i="9"/>
  <c r="C3" i="8"/>
  <c r="C2" i="8" s="1"/>
  <c r="H7" i="8"/>
  <c r="G7" i="8"/>
  <c r="G1" i="8" s="1"/>
  <c r="F7" i="8"/>
  <c r="F1" i="8" s="1"/>
  <c r="E7" i="8"/>
  <c r="E1" i="8" s="1"/>
  <c r="D7" i="8"/>
  <c r="D1" i="8" s="1"/>
  <c r="H6" i="8"/>
  <c r="G6" i="8"/>
  <c r="F6" i="8"/>
  <c r="E6" i="8"/>
  <c r="D6" i="8"/>
  <c r="H5" i="8"/>
  <c r="G5" i="8"/>
  <c r="F5" i="8"/>
  <c r="E5" i="8"/>
  <c r="D5" i="8"/>
  <c r="H4" i="8"/>
  <c r="H1" i="8" s="1"/>
  <c r="G4" i="8"/>
  <c r="F4" i="8"/>
  <c r="E4" i="8"/>
  <c r="D4" i="8"/>
  <c r="H3" i="8"/>
  <c r="H2" i="8" s="1"/>
  <c r="G3" i="8"/>
  <c r="G2" i="8" s="1"/>
  <c r="F3" i="8"/>
  <c r="F2" i="8" s="1"/>
  <c r="E3" i="8"/>
  <c r="E2" i="8" s="1"/>
  <c r="D3" i="8"/>
  <c r="D2" i="8" s="1"/>
  <c r="C7" i="8"/>
  <c r="C6" i="8"/>
  <c r="C5" i="8"/>
  <c r="C4" i="8"/>
  <c r="C1" i="8" s="1"/>
  <c r="H7" i="1"/>
  <c r="G7" i="1"/>
  <c r="F7" i="1"/>
  <c r="E7" i="1"/>
  <c r="D7" i="1"/>
  <c r="H6" i="1"/>
  <c r="G6" i="1"/>
  <c r="F6" i="1"/>
  <c r="E6" i="1"/>
  <c r="D6" i="1"/>
  <c r="C7" i="1"/>
  <c r="C6" i="1"/>
  <c r="H5" i="1"/>
  <c r="G5" i="1"/>
  <c r="F5" i="1"/>
  <c r="E5" i="1"/>
  <c r="D5" i="1"/>
  <c r="C5" i="1"/>
  <c r="H4" i="1"/>
  <c r="G4" i="1"/>
  <c r="F4" i="1"/>
  <c r="E4" i="1"/>
  <c r="D4" i="1"/>
  <c r="C4" i="1"/>
  <c r="H3" i="1"/>
  <c r="G3" i="1"/>
  <c r="F3" i="1"/>
  <c r="E3" i="1"/>
  <c r="B17" i="27" l="1"/>
  <c r="B23" i="27" s="1"/>
  <c r="B3" i="26"/>
  <c r="G14" i="27"/>
  <c r="B2" i="26"/>
  <c r="B14" i="27"/>
  <c r="H14" i="27"/>
  <c r="C3" i="26"/>
  <c r="C2" i="26"/>
  <c r="H1" i="20"/>
  <c r="C2" i="20"/>
  <c r="D1" i="20"/>
  <c r="D2" i="20"/>
  <c r="C1" i="20"/>
  <c r="E2" i="20"/>
  <c r="G1" i="20"/>
  <c r="H2" i="20"/>
  <c r="B7" i="17"/>
  <c r="G1" i="19"/>
  <c r="C1" i="19"/>
  <c r="E1" i="19"/>
  <c r="F1" i="19"/>
  <c r="D1" i="19"/>
  <c r="C2" i="19"/>
  <c r="D2" i="19"/>
  <c r="E2" i="19"/>
  <c r="F2" i="19"/>
  <c r="G2" i="20"/>
  <c r="E1" i="20"/>
  <c r="H2" i="19"/>
  <c r="H1" i="19"/>
  <c r="G2" i="19"/>
  <c r="E1" i="18"/>
  <c r="C2" i="18"/>
  <c r="F2" i="18"/>
  <c r="G2" i="18"/>
  <c r="H2" i="18"/>
  <c r="D2" i="18"/>
  <c r="F1" i="18"/>
  <c r="H1" i="18"/>
  <c r="G1" i="18"/>
  <c r="E2" i="18"/>
  <c r="D1" i="18"/>
  <c r="C1" i="18"/>
  <c r="D1" i="1"/>
  <c r="E1" i="1"/>
  <c r="F1" i="1"/>
  <c r="G1" i="1"/>
  <c r="H1" i="1"/>
  <c r="C2" i="1"/>
  <c r="D2" i="1"/>
  <c r="C1" i="1"/>
  <c r="E2" i="1"/>
  <c r="F2" i="1"/>
  <c r="G2" i="1"/>
  <c r="H2" i="1"/>
  <c r="C1" i="16"/>
  <c r="D1" i="16"/>
  <c r="E1" i="16"/>
  <c r="F1" i="16"/>
  <c r="G1" i="16"/>
  <c r="H1" i="16"/>
  <c r="E2" i="11"/>
  <c r="F2" i="11"/>
  <c r="D1" i="11"/>
  <c r="G1" i="11"/>
  <c r="H1" i="11"/>
  <c r="C1" i="11"/>
  <c r="D1" i="9"/>
  <c r="C1" i="9"/>
  <c r="E1" i="9"/>
  <c r="F1" i="9"/>
  <c r="G1" i="15"/>
  <c r="C2" i="15"/>
  <c r="D2" i="15"/>
  <c r="E1" i="15"/>
  <c r="H1" i="15"/>
  <c r="C2" i="25" l="1"/>
  <c r="C3" i="25"/>
  <c r="B2" i="25"/>
  <c r="B2" i="17"/>
  <c r="B3" i="25"/>
  <c r="C2" i="17"/>
  <c r="C3" i="17"/>
  <c r="B3"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<sst xmlns="http://schemas.openxmlformats.org/spreadsheetml/2006/main" count="1502" uniqueCount="759">
  <si>
    <t>Bank </t>
  </si>
  <si>
    <t>Customer </t>
  </si>
  <si>
    <t>Application Form </t>
  </si>
  <si>
    <t>Account </t>
  </si>
  <si>
    <t>x Is application rejected? </t>
  </si>
  <si>
    <t>Pools </t>
  </si>
  <si>
    <t>Tasks/Messages/Events </t>
  </si>
  <si>
    <t>Receive Application </t>
  </si>
  <si>
    <t>Evaluate Application </t>
  </si>
  <si>
    <t>Notify Customer </t>
  </si>
  <si>
    <t>Create Account </t>
  </si>
  <si>
    <t>Send Welcome Pack </t>
  </si>
  <si>
    <t>Send Bank Card </t>
  </si>
  <si>
    <t>Chatbot run 1</t>
  </si>
  <si>
    <t>Chatbot run 2</t>
  </si>
  <si>
    <t>Chatbot run 3</t>
  </si>
  <si>
    <t>XML  run 1</t>
  </si>
  <si>
    <t>XML run 2</t>
  </si>
  <si>
    <t>XML run 3</t>
  </si>
  <si>
    <t>Conditions/Loops/Parallel:</t>
  </si>
  <si>
    <t>Data Objects</t>
  </si>
  <si>
    <t>False Positives</t>
  </si>
  <si>
    <t>Parallel GW</t>
  </si>
  <si>
    <t> Account Opening Department Lane</t>
  </si>
  <si>
    <t>Welcome Pack DO</t>
  </si>
  <si>
    <t>Bank Card DO</t>
  </si>
  <si>
    <t>PIN Number DO</t>
  </si>
  <si>
    <t>Prepare PIN</t>
  </si>
  <si>
    <t>Prepare Welcome Pack</t>
  </si>
  <si>
    <t>Prepare Bank card</t>
  </si>
  <si>
    <t>Receive Notification from Bank</t>
  </si>
  <si>
    <t>Prepare Rejection Email</t>
  </si>
  <si>
    <t>Customer Service Lane</t>
  </si>
  <si>
    <t>Operations Lane</t>
  </si>
  <si>
    <t>Bank Back Office</t>
  </si>
  <si>
    <t>Second Send PIN</t>
  </si>
  <si>
    <t xml:space="preserve"> Second Send Rejection Notification</t>
  </si>
  <si>
    <t>Second Send Welcome Pack</t>
  </si>
  <si>
    <t> Second Send Bank card</t>
  </si>
  <si>
    <t>Account Services Lane</t>
  </si>
  <si>
    <t>Application Processing Lane</t>
  </si>
  <si>
    <t>Management</t>
  </si>
  <si>
    <t>Accountant</t>
  </si>
  <si>
    <t>Send PIN </t>
  </si>
  <si>
    <t>Order Cash-out Report</t>
  </si>
  <si>
    <t>Filter Cash Transactions</t>
  </si>
  <si>
    <t>Print Cash-out Report</t>
  </si>
  <si>
    <t>Give Report to Management</t>
  </si>
  <si>
    <t>Cash Database</t>
  </si>
  <si>
    <t>Cash Transactions</t>
  </si>
  <si>
    <t>Cash-out Report</t>
  </si>
  <si>
    <t>Management Pool</t>
  </si>
  <si>
    <t>Send Year and Month / Receive Year and Month</t>
  </si>
  <si>
    <t>Year and Month DO</t>
  </si>
  <si>
    <t xml:space="preserve">Wait for Report Order </t>
  </si>
  <si>
    <t>Accountant Pool</t>
  </si>
  <si>
    <t>Specify Year and Month</t>
  </si>
  <si>
    <t>Company Pool</t>
  </si>
  <si>
    <t>Select Next Product from Order</t>
  </si>
  <si>
    <t>Check if Product is in Stock</t>
  </si>
  <si>
    <t xml:space="preserve">Read Order </t>
  </si>
  <si>
    <t xml:space="preserve"> Withdraw Product from Warehouse</t>
  </si>
  <si>
    <t>Reorder Product from Wholesaler</t>
  </si>
  <si>
    <t xml:space="preserve">Product Arrived </t>
  </si>
  <si>
    <t>Register Product</t>
  </si>
  <si>
    <t>Wait for 10 days</t>
  </si>
  <si>
    <t xml:space="preserve">Demand Delivery Delay Penalty </t>
  </si>
  <si>
    <t>Check if Whole Order is Ready for Shipment</t>
  </si>
  <si>
    <t>Request Courier</t>
  </si>
  <si>
    <t>Pack Products</t>
  </si>
  <si>
    <t>Ship Order</t>
  </si>
  <si>
    <t>Parallel (Request Courier || Pack Products )</t>
  </si>
  <si>
    <t>Is product in stock?</t>
  </si>
  <si>
    <t>Did Product Arrived  before 10 days?</t>
  </si>
  <si>
    <t>Is order ready for shipment?</t>
  </si>
  <si>
    <t>For Each Product from Order Loop</t>
  </si>
  <si>
    <t>Order Management System</t>
  </si>
  <si>
    <t>Order</t>
  </si>
  <si>
    <t>Product</t>
  </si>
  <si>
    <t>Stock Management System</t>
  </si>
  <si>
    <t>Pool Retailer</t>
  </si>
  <si>
    <t>Lane Order and Inventory Management</t>
  </si>
  <si>
    <t>Wholesaler Pool</t>
  </si>
  <si>
    <t>Warehouse Record DO</t>
  </si>
  <si>
    <t>Courier Request DO</t>
  </si>
  <si>
    <t>Packed Products DO </t>
  </si>
  <si>
    <t>Logistics Lane</t>
  </si>
  <si>
    <t>Storage Management Lane</t>
  </si>
  <si>
    <t>Set Delay Exceeded Flag</t>
  </si>
  <si>
    <t>Delay Flag DO</t>
  </si>
  <si>
    <t>Product Arrived DO</t>
  </si>
  <si>
    <t>Inventory Database DO</t>
  </si>
  <si>
    <t>Warehouse Lane</t>
  </si>
  <si>
    <t>Stock Management Lane</t>
  </si>
  <si>
    <t>Packing Logistics Lane</t>
  </si>
  <si>
    <t>Shipping Lane</t>
  </si>
  <si>
    <t>Finance Lane</t>
  </si>
  <si>
    <t>Courier Pool</t>
  </si>
  <si>
    <t>Courier Operations Lane</t>
  </si>
  <si>
    <t>Product Arrived After Penalty</t>
  </si>
  <si>
    <t>Packing List DO</t>
  </si>
  <si>
    <t>Second Reorder from Wholesaler</t>
  </si>
  <si>
    <t>Courier Accepts Request</t>
  </si>
  <si>
    <t>Tribunal</t>
  </si>
  <si>
    <t>Owner</t>
  </si>
  <si>
    <t>Receive Compensation Request from Owner</t>
  </si>
  <si>
    <t>Retrieve Premises File</t>
  </si>
  <si>
    <t>Check Request Acceptability and Compliance</t>
  </si>
  <si>
    <t>Allocate Hearing Date</t>
  </si>
  <si>
    <t>Produce / Send Fees Notice</t>
  </si>
  <si>
    <t>Receive Fees Payment</t>
  </si>
  <si>
    <t>Reassess Document Compliance</t>
  </si>
  <si>
    <t>Fees Paid with Request?</t>
  </si>
  <si>
    <t>Compensation Request</t>
  </si>
  <si>
    <t>Premises File</t>
  </si>
  <si>
    <t>Fees Notice</t>
  </si>
  <si>
    <t>Pay Fees</t>
  </si>
  <si>
    <t>Payment Record DO</t>
  </si>
  <si>
    <t>Prepare Compensation Request</t>
  </si>
  <si>
    <t xml:space="preserve">Owner Lane in Tribunal </t>
  </si>
  <si>
    <t>Premises File Store</t>
  </si>
  <si>
    <r>
      <t>Submit compensation request</t>
    </r>
    <r>
      <rPr>
        <sz val="8"/>
        <color theme="1"/>
        <rFont val="Arial"/>
        <family val="2"/>
      </rPr>
      <t> </t>
    </r>
  </si>
  <si>
    <t>Police App</t>
  </si>
  <si>
    <t>Car Owner</t>
  </si>
  <si>
    <t>Car Service Facility</t>
  </si>
  <si>
    <t>Lanes</t>
  </si>
  <si>
    <t>Mechanic</t>
  </si>
  <si>
    <t>Receive Successful Service Notification</t>
  </si>
  <si>
    <t xml:space="preserve">Time for Necessary Service </t>
  </si>
  <si>
    <t>Check Car Registration</t>
  </si>
  <si>
    <t>Send Notification to Owner</t>
  </si>
  <si>
    <t>Receive Going to Service Confirmation</t>
  </si>
  <si>
    <t>Wait 30 days</t>
  </si>
  <si>
    <t>Send Fine to Owner</t>
  </si>
  <si>
    <t>Receive Notification from Police App</t>
  </si>
  <si>
    <t>Go to Service Facility</t>
  </si>
  <si>
    <t>Pay Fine</t>
  </si>
  <si>
    <t>Pay through App</t>
  </si>
  <si>
    <t>Get Pickerl</t>
  </si>
  <si>
    <t>Receive Car for Service</t>
  </si>
  <si>
    <t>Enter Problems</t>
  </si>
  <si>
    <t>Send Status Update via Email</t>
  </si>
  <si>
    <t>Repair Car</t>
  </si>
  <si>
    <t>Notify Owner Repair Done</t>
  </si>
  <si>
    <t>Enter Repair Success</t>
  </si>
  <si>
    <t>Enter Next Service Time</t>
  </si>
  <si>
    <t>Notify Police App of Service Success</t>
  </si>
  <si>
    <t>Is Car Registered?</t>
  </si>
  <si>
    <t>Did owner go to service?</t>
  </si>
  <si>
    <t xml:space="preserve">Send Status Loop </t>
  </si>
  <si>
    <t>Parallel ( Send Status || Repair Car )</t>
  </si>
  <si>
    <t>Create Notification</t>
  </si>
  <si>
    <t>Service Reminder DO</t>
  </si>
  <si>
    <t>Car Registration Database DO</t>
  </si>
  <si>
    <t>Notification DO</t>
  </si>
  <si>
    <t>Fine DO</t>
  </si>
  <si>
    <t>Payment DO</t>
  </si>
  <si>
    <t>Service Report DO</t>
  </si>
  <si>
    <t>Status Update DO</t>
  </si>
  <si>
    <t>Pickerl DO</t>
  </si>
  <si>
    <t>Next Service Date DO</t>
  </si>
  <si>
    <t>Fine Notice DO</t>
  </si>
  <si>
    <t>Payment Confirmation DO</t>
  </si>
  <si>
    <t>Car Problems DO</t>
  </si>
  <si>
    <t>Repair Status DO</t>
  </si>
  <si>
    <t>Service Completion DO</t>
  </si>
  <si>
    <t>Update Repair Status</t>
  </si>
  <si>
    <t>Double Notify Car Owner Task and Event</t>
  </si>
  <si>
    <t>Service Confirmation DO</t>
  </si>
  <si>
    <t>Service Request DO</t>
  </si>
  <si>
    <t>Service Success DO</t>
  </si>
  <si>
    <t>Send Service Request to Mechanic</t>
  </si>
  <si>
    <t>Create/Issue Fine</t>
  </si>
  <si>
    <t>Fines Department Lane</t>
  </si>
  <si>
    <t>Registration Record DO</t>
  </si>
  <si>
    <t>Problem Report DO</t>
  </si>
  <si>
    <t>Wait During Repair</t>
  </si>
  <si>
    <t>Inform Service Visit</t>
  </si>
  <si>
    <t>Repair Complete E</t>
  </si>
  <si>
    <t>Beneficiary</t>
  </si>
  <si>
    <t>Insurance Agent</t>
  </si>
  <si>
    <t>Insurance Company</t>
  </si>
  <si>
    <t>Clerk</t>
  </si>
  <si>
    <t>Regulator</t>
  </si>
  <si>
    <t>Accident Occurs</t>
  </si>
  <si>
    <t>Call Insurance Agent</t>
  </si>
  <si>
    <t>Receive Call from Beneficiary</t>
  </si>
  <si>
    <t>Send Claim Notification to Insurance Company</t>
  </si>
  <si>
    <t>Receive Claim Notification from Agent</t>
  </si>
  <si>
    <t>Claim Processed or Closed</t>
  </si>
  <si>
    <t>Enter Claim Notification</t>
  </si>
  <si>
    <t>Assign Clerk</t>
  </si>
  <si>
    <t>Check Policy Validity</t>
  </si>
  <si>
    <t>Contact Doctors and Injured Parties</t>
  </si>
  <si>
    <t>Prepare Repair Quote</t>
  </si>
  <si>
    <t xml:space="preserve">Call  the beneficiary </t>
  </si>
  <si>
    <t>Call other injured persons</t>
  </si>
  <si>
    <t>Call witnesses</t>
  </si>
  <si>
    <t>Call the police</t>
  </si>
  <si>
    <t>Drop by the people involved</t>
  </si>
  <si>
    <t>Drop by the place of accident</t>
  </si>
  <si>
    <t>Gather Medical and Repair Information</t>
  </si>
  <si>
    <t>Decide on Compensation</t>
  </si>
  <si>
    <t>Close File</t>
  </si>
  <si>
    <t>Initiate Legal Measures</t>
  </si>
  <si>
    <t>Was policy valid?</t>
  </si>
  <si>
    <t>All parties satisfied?</t>
  </si>
  <si>
    <t>Claim Notification</t>
  </si>
  <si>
    <t>Policy</t>
  </si>
  <si>
    <t>Case File</t>
  </si>
  <si>
    <t>Double task and event notify insurance agent </t>
  </si>
  <si>
    <t>Gather Additional Information (Parts, Treatments, etc.)</t>
  </si>
  <si>
    <t>Compensation Decision DO</t>
  </si>
  <si>
    <t>Double task and event notify insurance company  </t>
  </si>
  <si>
    <t>Repair Quote DO</t>
  </si>
  <si>
    <t>Medical Estimate DO</t>
  </si>
  <si>
    <t>Liability Assessment DO</t>
  </si>
  <si>
    <t>Estimate Repair Costs</t>
  </si>
  <si>
    <t>Estimate Medical Costs</t>
  </si>
  <si>
    <t>Assess Liability</t>
  </si>
  <si>
    <t>Gather Information (35 days)</t>
  </si>
  <si>
    <t>Notify Parties about Compensation</t>
  </si>
  <si>
    <t>Parties Satisfied</t>
  </si>
  <si>
    <t>40 days passed</t>
  </si>
  <si>
    <t>Process Lawsuit (may take years)</t>
  </si>
  <si>
    <t>Pay Compensation</t>
  </si>
  <si>
    <t>Payments Database DO</t>
  </si>
  <si>
    <t>Notify agent (second time) </t>
  </si>
  <si>
    <t>Notify insurance company (second time) </t>
  </si>
  <si>
    <t>Legal Measures Initiated (Message Catch Event) </t>
  </si>
  <si>
    <t>Wait up to 3 Days</t>
  </si>
  <si>
    <t>Determine Who Pays</t>
  </si>
  <si>
    <t>Collect Further Information </t>
  </si>
  <si>
    <t>Contact All Parties</t>
  </si>
  <si>
    <t>Collected Information DO</t>
  </si>
  <si>
    <t>Obligation Status DO</t>
  </si>
  <si>
    <t>Medical Details DO</t>
  </si>
  <si>
    <t>Up to 3 days delay</t>
  </si>
  <si>
    <t>Accumulate Internal Costs (500€ avg)</t>
  </si>
  <si>
    <t>Cost Estimation DO</t>
  </si>
  <si>
    <t>Decide on Compensation GW</t>
  </si>
  <si>
    <t>Collect Claim Information </t>
  </si>
  <si>
    <t>Semantic TP Explicit</t>
  </si>
  <si>
    <t>Semantic TP Implicit</t>
  </si>
  <si>
    <t>Semantic FN</t>
  </si>
  <si>
    <t>Semantic FP Strict</t>
  </si>
  <si>
    <t>Semantic FP Loose</t>
  </si>
  <si>
    <t>Credit Request</t>
  </si>
  <si>
    <t>Assessment Result</t>
  </si>
  <si>
    <t>Receive Credit Request</t>
  </si>
  <si>
    <t>Assess Risk</t>
  </si>
  <si>
    <t>Is Risk above threshold?</t>
  </si>
  <si>
    <t>Carry Out Advanced Risk Assessment</t>
  </si>
  <si>
    <t>Carry Out Simple Risk Assessment</t>
  </si>
  <si>
    <t>Notify Customer of Assessment Result</t>
  </si>
  <si>
    <t>Organize Disbursement</t>
  </si>
  <si>
    <t xml:space="preserve"> View Available Courses and Dates from System</t>
  </si>
  <si>
    <t xml:space="preserve"> Register Account</t>
  </si>
  <si>
    <t xml:space="preserve"> Request Activation</t>
  </si>
  <si>
    <t xml:space="preserve"> Receive Activation Response</t>
  </si>
  <si>
    <t xml:space="preserve"> Log Into Account</t>
  </si>
  <si>
    <t xml:space="preserve"> Tweet to Friends</t>
  </si>
  <si>
    <t xml:space="preserve"> Complete Course Registration</t>
  </si>
  <si>
    <t xml:space="preserve"> Provide Payment Information</t>
  </si>
  <si>
    <t xml:space="preserve"> Receive Course Ticket</t>
  </si>
  <si>
    <t>Are Slots Free?</t>
  </si>
  <si>
    <t>Have an Account?</t>
  </si>
  <si>
    <t>Is Registered at Eligible University?</t>
  </si>
  <si>
    <t>Car Insurer</t>
  </si>
  <si>
    <t>Customer</t>
  </si>
  <si>
    <t>Notification Department</t>
  </si>
  <si>
    <t>Handling Department</t>
  </si>
  <si>
    <t>Receive Claim and Documentation</t>
  </si>
  <si>
    <t>Register Claim</t>
  </si>
  <si>
    <t>Check Insurance</t>
  </si>
  <si>
    <t>Perform Assessment</t>
  </si>
  <si>
    <t>Phone Garage to Authorize Repairs</t>
  </si>
  <si>
    <t>Schedule Payment</t>
  </si>
  <si>
    <t>Reject Claim</t>
  </si>
  <si>
    <t>Send Letter to Customer</t>
  </si>
  <si>
    <t>Is Insurance Valid?</t>
  </si>
  <si>
    <t>Is Assessment Positive?</t>
  </si>
  <si>
    <t>Claim</t>
  </si>
  <si>
    <t>Letter</t>
  </si>
  <si>
    <t>Conditions/Loops/Parallel</t>
  </si>
  <si>
    <t>Customer Pool</t>
  </si>
  <si>
    <t>Receive Assesmnet Result</t>
  </si>
  <si>
    <t>Risk Managmnet Lane</t>
  </si>
  <si>
    <t>Distribumnet Lane</t>
  </si>
  <si>
    <t>Credit Department Lane</t>
  </si>
  <si>
    <t>Bank Pool</t>
  </si>
  <si>
    <t>Send Credit Request</t>
  </si>
  <si>
    <t>Prepare Assessment Result</t>
  </si>
  <si>
    <t>Processing Department Lane</t>
  </si>
  <si>
    <t>Select Course to register</t>
  </si>
  <si>
    <t>Wait for Activation Response</t>
  </si>
  <si>
    <t>Course List DO</t>
  </si>
  <si>
    <t>Selected Course DO</t>
  </si>
  <si>
    <t>Account DO</t>
  </si>
  <si>
    <t>University Registeration DO</t>
  </si>
  <si>
    <t>Payment Info DO</t>
  </si>
  <si>
    <t>Course TicketDO</t>
  </si>
  <si>
    <t>Applicant Pool/Lane</t>
  </si>
  <si>
    <t>Course Registeration</t>
  </si>
  <si>
    <t>Check Account Existence</t>
  </si>
  <si>
    <t>Activation Response</t>
  </si>
  <si>
    <t xml:space="preserve"> Select Course and Date</t>
  </si>
  <si>
    <t>Request Available Courses</t>
  </si>
  <si>
    <t>Receive Available Courses</t>
  </si>
  <si>
    <t>Check University Eligibility</t>
  </si>
  <si>
    <t>University Eligibility DO</t>
  </si>
  <si>
    <t>Send Registration Request</t>
  </si>
  <si>
    <t>User lane</t>
  </si>
  <si>
    <t>Twitter lane</t>
  </si>
  <si>
    <t>Sports Institute Pool</t>
  </si>
  <si>
    <t>Registration System Lane</t>
  </si>
  <si>
    <t xml:space="preserve">Administration Lane in Sport Institute </t>
  </si>
  <si>
    <t>Wait for Applicant Message</t>
  </si>
  <si>
    <t>Receive Request for Courses</t>
  </si>
  <si>
    <t>Check Available Course Slots</t>
  </si>
  <si>
    <t>Send Courses Dates</t>
  </si>
  <si>
    <t>Course Slots Database</t>
  </si>
  <si>
    <t>Receive Registration Request</t>
  </si>
  <si>
    <t>Receive Activation Request</t>
  </si>
  <si>
    <t>Admin Reviews Activation Request</t>
  </si>
  <si>
    <t>Process Registration Request</t>
  </si>
  <si>
    <t>Send Activation Response</t>
  </si>
  <si>
    <t>Activation Request DO</t>
  </si>
  <si>
    <t>Registration Request DO</t>
  </si>
  <si>
    <t>Save Registration</t>
  </si>
  <si>
    <t>Generate Course Ticket</t>
  </si>
  <si>
    <t>Send Course Ticket</t>
  </si>
  <si>
    <t>Sports Institute lane</t>
  </si>
  <si>
    <t>Create Account</t>
  </si>
  <si>
    <t>Proceed to Registration</t>
  </si>
  <si>
    <t>Course Management lane</t>
  </si>
  <si>
    <t>Receive Course Info Request</t>
  </si>
  <si>
    <t>Validate Payment</t>
  </si>
  <si>
    <t>Documents Complete? X</t>
  </si>
  <si>
    <t>Prepare Claim and Documntation</t>
  </si>
  <si>
    <t>Submit Claim to Insurer</t>
  </si>
  <si>
    <t>Check Documents for Completeness</t>
  </si>
  <si>
    <t>Receive Letter from Insurer</t>
  </si>
  <si>
    <t>Prepare Rejection Letter</t>
  </si>
  <si>
    <t>Prepare Approval Letter</t>
  </si>
  <si>
    <t>Claim Submission DO</t>
  </si>
  <si>
    <t>Assesment Result DO</t>
  </si>
  <si>
    <t>Registered Claim DO</t>
  </si>
  <si>
    <t>Claim Documnts DO</t>
  </si>
  <si>
    <t>Submit Claim Double</t>
  </si>
  <si>
    <t>Send Letter to Customer Double</t>
  </si>
  <si>
    <t>Semantic  Recall</t>
  </si>
  <si>
    <t>Semantic Percision</t>
  </si>
  <si>
    <t>Avg. Semantic Percision</t>
  </si>
  <si>
    <t>Avg. Semantic  Recall</t>
  </si>
  <si>
    <t>Chatbot</t>
  </si>
  <si>
    <t>XML</t>
  </si>
  <si>
    <t>Fridge produced strange noises</t>
  </si>
  <si>
    <t>Send Request to Service Center</t>
  </si>
  <si>
    <t>Describe Symptoms and Type</t>
  </si>
  <si>
    <t>You</t>
  </si>
  <si>
    <t>Central Fridge Service Center</t>
  </si>
  <si>
    <t>Service Facility</t>
  </si>
  <si>
    <t>Select Local Service Facility</t>
  </si>
  <si>
    <t>Make Appointment</t>
  </si>
  <si>
    <t>Get additional parts</t>
  </si>
  <si>
    <t xml:space="preserve">Visit Customer </t>
  </si>
  <si>
    <t>Have all parts?</t>
  </si>
  <si>
    <t>Confirm repair</t>
  </si>
  <si>
    <t>Do repair</t>
  </si>
  <si>
    <t>rate the service facility</t>
  </si>
  <si>
    <t>Send Appointment to Customer</t>
  </si>
  <si>
    <t>Receive Appointment from Service Facility</t>
  </si>
  <si>
    <t>Receive Repair Completion Notification</t>
  </si>
  <si>
    <t>Send Confirmation to Service Facility</t>
  </si>
  <si>
    <t>Receive Request from Customer</t>
  </si>
  <si>
    <t>Forward Request to Service Facility</t>
  </si>
  <si>
    <t>Receive Request from Service Center</t>
  </si>
  <si>
    <t>Notify Customer of Repair Completion</t>
  </si>
  <si>
    <t>Receive Repair Confirmation from Customer</t>
  </si>
  <si>
    <t>Repair Confirmation DO</t>
  </si>
  <si>
    <t>Service Rating DO</t>
  </si>
  <si>
    <t>Fridge Not yet Repaired Loop</t>
  </si>
  <si>
    <t xml:space="preserve">Set Repair Status to Complete </t>
  </si>
  <si>
    <t>Appointment DO</t>
  </si>
  <si>
    <t>Wait for Repair Visit</t>
  </si>
  <si>
    <t>Fridge Repaired Task</t>
  </si>
  <si>
    <t>Wait for Next Repair Attempt</t>
  </si>
  <si>
    <t>Repair Outcome x in Customer</t>
  </si>
  <si>
    <t>Reschedule</t>
  </si>
  <si>
    <t>Receive not OK from Customer</t>
  </si>
  <si>
    <t>Report not OK to Service Facility</t>
  </si>
  <si>
    <t xml:space="preserve">Symptoms Description </t>
  </si>
  <si>
    <t>Fridge Type</t>
  </si>
  <si>
    <t>Complete Repair</t>
  </si>
  <si>
    <t>Data Objects/ Messages</t>
  </si>
  <si>
    <t>Company</t>
  </si>
  <si>
    <t>Lane</t>
  </si>
  <si>
    <t>Secretary</t>
  </si>
  <si>
    <t>Logistics Department Head</t>
  </si>
  <si>
    <t>Warehouseman</t>
  </si>
  <si>
    <t>Clarify Shipping Type</t>
  </si>
  <si>
    <t>Invite 3 Logistic Companies for Offers</t>
  </si>
  <si>
    <t>Select Logistics Company</t>
  </si>
  <si>
    <t>Write Package Label</t>
  </si>
  <si>
    <t>Take Parcel Insurance</t>
  </si>
  <si>
    <t>Large or Small Amounts?</t>
  </si>
  <si>
    <t>Package Goods</t>
  </si>
  <si>
    <t>Prepare Packaged Goods for Pickup</t>
  </si>
  <si>
    <t>Logistics Offers</t>
  </si>
  <si>
    <t>Shipping Type DO</t>
  </si>
  <si>
    <t>Selected Logistics Company DO</t>
  </si>
  <si>
    <t xml:space="preserve">Package Label </t>
  </si>
  <si>
    <t>Parcel Insurance DO</t>
  </si>
  <si>
    <t>Packaged Goods DO</t>
  </si>
  <si>
    <t>Goods DO</t>
  </si>
  <si>
    <t>Write Package Label || Packing</t>
  </si>
  <si>
    <t>Logistics Company Pool</t>
  </si>
  <si>
    <t>Send pickup request</t>
  </si>
  <si>
    <t>Send pickup request to post</t>
  </si>
  <si>
    <t>Parcel Insurance necessary?</t>
  </si>
  <si>
    <t>Goods picked up Event</t>
  </si>
  <si>
    <t>Packaging || Pickup</t>
  </si>
  <si>
    <t>Pick up goods</t>
  </si>
  <si>
    <t>Receive pickup request</t>
  </si>
  <si>
    <t>Send pickup confirmation</t>
  </si>
  <si>
    <t>Student</t>
  </si>
  <si>
    <t>University</t>
  </si>
  <si>
    <t>Fill Online Application Form</t>
  </si>
  <si>
    <t>Record Online Application in Admission Information System</t>
  </si>
  <si>
    <t>Submit Online Application Form</t>
  </si>
  <si>
    <t>Download Generated PDF</t>
  </si>
  <si>
    <t>Sign PDF</t>
  </si>
  <si>
    <t>Send Documents by Post</t>
  </si>
  <si>
    <t>Prepare Transcript and Motivation Letter</t>
  </si>
  <si>
    <t>Receive Documents</t>
  </si>
  <si>
    <t>Officer</t>
  </si>
  <si>
    <t xml:space="preserve">Reject Application </t>
  </si>
  <si>
    <t>Forward Documents to Academic Committee</t>
  </si>
  <si>
    <t>Sufficient Grades?</t>
  </si>
  <si>
    <t>Admission Information System</t>
  </si>
  <si>
    <t>Application PDF</t>
  </si>
  <si>
    <t>Meet to Assess Applications</t>
  </si>
  <si>
    <t>Once a month timer</t>
  </si>
  <si>
    <t>Notify Admissions Office of Selection Outcomes</t>
  </si>
  <si>
    <t>Check Selection Outcomes</t>
  </si>
  <si>
    <t>Send Rejection Email</t>
  </si>
  <si>
    <t>Send Admission Email</t>
  </si>
  <si>
    <t>Letter of Motivation</t>
  </si>
  <si>
    <t>Transcript of Grades</t>
  </si>
  <si>
    <t>Selection Outcomes</t>
  </si>
  <si>
    <t>Committee Chair</t>
  </si>
  <si>
    <t>Notify Academic Committee of Application Ready</t>
  </si>
  <si>
    <t>Receive Selection Outcomes from Committee Chair</t>
  </si>
  <si>
    <t>Wait a few days</t>
  </si>
  <si>
    <t>Decide on Admission</t>
  </si>
  <si>
    <t>Receive Notification of Application Ready (start event)</t>
  </si>
  <si>
    <t>Send Selection Outcomes to Admissions Office</t>
  </si>
  <si>
    <t>Online Application DO</t>
  </si>
  <si>
    <t>Initial Assessment</t>
  </si>
  <si>
    <t>Committee Members</t>
  </si>
  <si>
    <t>Pools / Lanes</t>
  </si>
  <si>
    <t>Academic Committee (Pool or lane)</t>
  </si>
  <si>
    <t>If admitted?</t>
  </si>
  <si>
    <t>PersonalDataObj</t>
  </si>
  <si>
    <t>StudentDocuments</t>
  </si>
  <si>
    <t>SupportingDocs</t>
  </si>
  <si>
    <t>Receive Documents from Admissions</t>
  </si>
  <si>
    <t>Prepare Rejection Notification</t>
  </si>
  <si>
    <t>Record Selection Outcomes</t>
  </si>
  <si>
    <t>Prepare Admission Email</t>
  </si>
  <si>
    <t>Is Query Not Empty?</t>
  </si>
  <si>
    <t>Jaccard Strict</t>
  </si>
  <si>
    <t>Jaccard Loose</t>
  </si>
  <si>
    <t>Avg Strict Jaccard Measure Chatbot runs</t>
  </si>
  <si>
    <t>Avg Strict Jaccard Measure XML runs</t>
  </si>
  <si>
    <t>Avg Strict Jaccard Measure Chatbot vs XML runs</t>
  </si>
  <si>
    <t>Avg Loose Jaccard Measure Chatbot runs</t>
  </si>
  <si>
    <t>Avg Loose Jaccard Measure XML runs</t>
  </si>
  <si>
    <t>Avg Loose Jaccard Measure Chatbot vs XML runs</t>
  </si>
  <si>
    <t>Inform the employer of work accident</t>
  </si>
  <si>
    <t>Inform the employer of  defect discovered in protection systems.</t>
  </si>
  <si>
    <t>Inform the employer of serious and immediate risk to safety and health that they discover</t>
  </si>
  <si>
    <t>Inform the employer of incident that would almost have led to an accident</t>
  </si>
  <si>
    <t>Has not been reported to the emergency services?</t>
  </si>
  <si>
    <t>leads to a fatality or serious injury ?</t>
  </si>
  <si>
    <t>Report to Labour Inspectorate</t>
  </si>
  <si>
    <t>Reported to the responsible accident insurance provider</t>
  </si>
  <si>
    <t>private insurance?</t>
  </si>
  <si>
    <t>Write immediately in line with the conditions.</t>
  </si>
  <si>
    <t>Employer</t>
  </si>
  <si>
    <t>Employee</t>
  </si>
  <si>
    <t xml:space="preserve">Inform Labour Inspectorate ||  Inform accident insurance provider  </t>
  </si>
  <si>
    <t>Accident Insurance Provider</t>
  </si>
  <si>
    <t>Type of Incident?</t>
  </si>
  <si>
    <t>Employee: Report Work Accident to Insurance Provider</t>
  </si>
  <si>
    <t>Receive Report from Employee/Insured Person</t>
  </si>
  <si>
    <t>Record Incident</t>
  </si>
  <si>
    <t>Process Accident Claim</t>
  </si>
  <si>
    <t>Investigate Accident</t>
  </si>
  <si>
    <t xml:space="preserve">Labour Inspectorate </t>
  </si>
  <si>
    <t>HR/Management</t>
  </si>
  <si>
    <t>Safety Officer</t>
  </si>
  <si>
    <t>Send Near Miss Report to Employer</t>
  </si>
  <si>
    <t>Send Safety Risk Report to Employer</t>
  </si>
  <si>
    <t>Send Defect Report to Employer</t>
  </si>
  <si>
    <t>Review Accident Report</t>
  </si>
  <si>
    <t>Type of employee is student?</t>
  </si>
  <si>
    <t xml:space="preserve">Report accidents to directorate. </t>
  </si>
  <si>
    <t>Employee:  Send Accident Report to Employer</t>
  </si>
  <si>
    <t>Employee: Send Accident Report to Directorate</t>
  </si>
  <si>
    <t>Accident Report DO</t>
  </si>
  <si>
    <t>Near Miss Report DO</t>
  </si>
  <si>
    <t>Safety Risk Report DO</t>
  </si>
  <si>
    <t>Defect Report DO</t>
  </si>
  <si>
    <t>Notify/ Send to Employer</t>
  </si>
  <si>
    <t>Insurance Clerk</t>
  </si>
  <si>
    <t>Directorate</t>
  </si>
  <si>
    <t>Self-Employed/Private Insured</t>
  </si>
  <si>
    <t>Applicant</t>
  </si>
  <si>
    <t>Visa Application Form</t>
  </si>
  <si>
    <t>Travel Document</t>
  </si>
  <si>
    <t>Passport Photo</t>
  </si>
  <si>
    <t>Travel Health Insurance Policy</t>
  </si>
  <si>
    <t>Proof of Means of Subsistence</t>
  </si>
  <si>
    <t>Other Evidence</t>
  </si>
  <si>
    <t>Accommodation Agreement</t>
  </si>
  <si>
    <t>Organize Accommodation</t>
  </si>
  <si>
    <t>Prepare Visa Application Form</t>
  </si>
  <si>
    <t>Collect Travel Document</t>
  </si>
  <si>
    <t>Obtain Passport Photo</t>
  </si>
  <si>
    <t>Arrange Travel Health Insurance</t>
  </si>
  <si>
    <t>Gather Proof of Means of Subsistence</t>
  </si>
  <si>
    <t>Submit Visa Application to Austrian Representation</t>
  </si>
  <si>
    <t>Austrian Representation Office</t>
  </si>
  <si>
    <t>Receive Visa Application from Applicant</t>
  </si>
  <si>
    <t>Check Application Completeness and Requirements</t>
  </si>
  <si>
    <t>Application Complete and Meets Requirements?</t>
  </si>
  <si>
    <t>Issue Rot-Weiss-Rot Card</t>
  </si>
  <si>
    <t>Send Rot-Weiss-Rot Card to Applicant</t>
  </si>
  <si>
    <t>Receive Rot-Weiss-Rot Card</t>
  </si>
  <si>
    <t>Wait for X Months</t>
  </si>
  <si>
    <t>Submit Renewal Application to Austrian Representation</t>
  </si>
  <si>
    <t>Receive Renewal Application from Applicant</t>
  </si>
  <si>
    <t>Process Renewal Application</t>
  </si>
  <si>
    <t>Rot-Weiss-Rot Card DO</t>
  </si>
  <si>
    <t>Visa</t>
  </si>
  <si>
    <t>Prepare for Visa Renewal</t>
  </si>
  <si>
    <t>Receive Visa from Representation Office</t>
  </si>
  <si>
    <t>Emergency Services</t>
  </si>
  <si>
    <t>Private Insurance</t>
  </si>
  <si>
    <t>School</t>
  </si>
  <si>
    <t>Assess Report</t>
  </si>
  <si>
    <t>Emergency Services Needed?</t>
  </si>
  <si>
    <t>Insured Reports Accident to Private Insurance</t>
  </si>
  <si>
    <t>PrivateInsurance_Store</t>
  </si>
  <si>
    <t>School_Store</t>
  </si>
  <si>
    <t>AIP_Store</t>
  </si>
  <si>
    <t>Open Bank Account</t>
  </si>
  <si>
    <t>Bank Account Details</t>
  </si>
  <si>
    <t>Issue Renewed Rot-Weiss-Rot Card</t>
  </si>
  <si>
    <t>Send Renewed Rot-Weiss-Rot Card to Applicant</t>
  </si>
  <si>
    <t>Consular Officer</t>
  </si>
  <si>
    <t>Check Visa and Living Requirements</t>
  </si>
  <si>
    <t>Negotiation Complete?</t>
  </si>
  <si>
    <t xml:space="preserve">Collect Other Evidence </t>
  </si>
  <si>
    <t>Receive Request for Additional Documents</t>
  </si>
  <si>
    <t>Provide Additional Documents</t>
  </si>
  <si>
    <t>Review Additional Documents</t>
  </si>
  <si>
    <t>Make Visa Decision</t>
  </si>
  <si>
    <t>Send Visa Decision</t>
  </si>
  <si>
    <t>Receive Visa Decision</t>
  </si>
  <si>
    <t>Visa Approved?</t>
  </si>
  <si>
    <t>Request Additional Documents</t>
  </si>
  <si>
    <t>Reject Application</t>
  </si>
  <si>
    <t>Visa Granted? / Eligible?</t>
  </si>
  <si>
    <t>Visa Section Lane</t>
  </si>
  <si>
    <t>Accommodation &amp; Bank Lane</t>
  </si>
  <si>
    <t>Visa Application Lane</t>
  </si>
  <si>
    <t>Personal Preparation Lane</t>
  </si>
  <si>
    <t>Accommodation/Bank Negotiation?</t>
  </si>
  <si>
    <t>Check Visa Type &amp; Main Destination</t>
  </si>
  <si>
    <t>Contact Representation Office</t>
  </si>
  <si>
    <t>Visa Renewal Timer</t>
  </si>
  <si>
    <t>Renew Visa</t>
  </si>
  <si>
    <t>Verify Eligibility</t>
  </si>
  <si>
    <t>Check Absence of Refusal Grounds</t>
  </si>
  <si>
    <t>Assess Visa Type &amp; Jurisdiction</t>
  </si>
  <si>
    <t>Check Completeness LOOP</t>
  </si>
  <si>
    <t>TELECO</t>
  </si>
  <si>
    <t>Customer Service</t>
  </si>
  <si>
    <t>electronic service</t>
  </si>
  <si>
    <t>Service Management</t>
  </si>
  <si>
    <t>Resource Provisioning</t>
  </si>
  <si>
    <t>Billing &amp; Collections</t>
  </si>
  <si>
    <t>Problem Parameters</t>
  </si>
  <si>
    <t>Service Performance Report</t>
  </si>
  <si>
    <t>Problem Report</t>
  </si>
  <si>
    <t>Contract Commitment Data</t>
  </si>
  <si>
    <t>Detailed Problem Report</t>
  </si>
  <si>
    <t>Final Status Report</t>
  </si>
  <si>
    <t>Problem Resolution Report</t>
  </si>
  <si>
    <t>subscribed service degraded</t>
  </si>
  <si>
    <t>Send Problem Parameters to TELECO Customer Service</t>
  </si>
  <si>
    <t xml:space="preserve">Receive Service Performance </t>
  </si>
  <si>
    <t>Receive Problem Parameters from Customer</t>
  </si>
  <si>
    <t>Enter Problem Report into System T</t>
  </si>
  <si>
    <t>Compare Problem Report to SLA</t>
  </si>
  <si>
    <t>Determine Counter Measures and Priorities</t>
  </si>
  <si>
    <t>Determine Customer Significance</t>
  </si>
  <si>
    <t xml:space="preserve"> If significant goes
back to re-prioritize these measures LOOP</t>
  </si>
  <si>
    <t>Link to Extra Problem Fix Process</t>
  </si>
  <si>
    <t>Create Detailed Problem Report</t>
  </si>
  <si>
    <t>Receive Detailed Problem Report from Customer Service</t>
  </si>
  <si>
    <t>Problem analyzable by Service Management?</t>
  </si>
  <si>
    <t>Analyze Problem</t>
  </si>
  <si>
    <t>Create Trouble Report</t>
  </si>
  <si>
    <t>Receive Detailed Problem Report from Service Management</t>
  </si>
  <si>
    <t>Problem detected by Resource Provisioning?</t>
  </si>
  <si>
    <t>Create Normal Execution Notification</t>
  </si>
  <si>
    <t>Create Status Report</t>
  </si>
  <si>
    <t>Receive Status Report from Resource Provisioning</t>
  </si>
  <si>
    <t>Prepare Final Status Report</t>
  </si>
  <si>
    <t>Counter Measures Required?</t>
  </si>
  <si>
    <t>Send Service Performance to Customer Service</t>
  </si>
  <si>
    <t>Undertake Corrective Actions</t>
  </si>
  <si>
    <t>Create Problem Resolution Report</t>
  </si>
  <si>
    <t>Send Problem Resolution Report to Customer Service</t>
  </si>
  <si>
    <t>Create Restoration Request</t>
  </si>
  <si>
    <t>Receive Restoration Request from Service Management</t>
  </si>
  <si>
    <t>Wait for Restoration Request (2 days)</t>
  </si>
  <si>
    <t>Track Errors</t>
  </si>
  <si>
    <t>Create Trouble-Shooting Report</t>
  </si>
  <si>
    <t>Receive Trouble-Shooting Report from Resource Provisioning</t>
  </si>
  <si>
    <t xml:space="preserve">Create Problem Resolution Report </t>
  </si>
  <si>
    <t>Receive Problem Resolution Report from Service Management</t>
  </si>
  <si>
    <t>Create Report for Customer</t>
  </si>
  <si>
    <t>Send Report to Customer</t>
  </si>
  <si>
    <t>Report SLA Violation Rebate</t>
  </si>
  <si>
    <t>Adjust Billing</t>
  </si>
  <si>
    <t>Trouble-Shooting Report</t>
  </si>
  <si>
    <t xml:space="preserve">Receive  Resolution Report </t>
  </si>
  <si>
    <t>Create Trouble Report by Resource Provisioning</t>
  </si>
  <si>
    <t>Analyze Problem by Resource Provisioning</t>
  </si>
  <si>
    <t>two concurrent activities ||</t>
  </si>
  <si>
    <t>Prioritized Actions</t>
  </si>
  <si>
    <t>SLA Violation Rebate</t>
  </si>
  <si>
    <t>Send Detailed Problem Report to Service Management</t>
  </si>
  <si>
    <t>Send Status Report to Service Management</t>
  </si>
  <si>
    <t>Send Restoration Request to Resource Provisioning</t>
  </si>
  <si>
    <t>Receive Service Performance OR  Problem Resolution?</t>
  </si>
  <si>
    <t>Identify Problem Parameters</t>
  </si>
  <si>
    <t>Re-prioritize Counter Measures</t>
  </si>
  <si>
    <t>Customer SLA</t>
  </si>
  <si>
    <t>Counter Measures</t>
  </si>
  <si>
    <t>Customer Significance</t>
  </si>
  <si>
    <t>Status Report</t>
  </si>
  <si>
    <t>Restoration Request</t>
  </si>
  <si>
    <t>Send Detailed Problem Report to Resource Provisioning</t>
  </si>
  <si>
    <t>Send Trouble-Shooting Report to Service Management</t>
  </si>
  <si>
    <t>Send Status Report to Customer Service</t>
  </si>
  <si>
    <t>Send Final Status Report to Customer Service</t>
  </si>
  <si>
    <t>Receive Service Performance from Service Management: Customer Service</t>
  </si>
  <si>
    <t>Receive Problem Resolution Report from Service Management: Customer Service</t>
  </si>
  <si>
    <t>Restoration Request or Timeout?</t>
  </si>
  <si>
    <t>Receive SLA Violation</t>
  </si>
  <si>
    <t>Customer Data</t>
  </si>
  <si>
    <t>Meter Data</t>
  </si>
  <si>
    <t>Initiate Switch-over Request</t>
  </si>
  <si>
    <t>Send Data to Customer Service</t>
  </si>
  <si>
    <t xml:space="preserve">Company </t>
  </si>
  <si>
    <t>check the contract details</t>
  </si>
  <si>
    <t xml:space="preserve">withdraw from the switch contract </t>
  </si>
  <si>
    <t xml:space="preserve">confirm the switch contract </t>
  </si>
  <si>
    <t>Customer Database</t>
  </si>
  <si>
    <t>Contract Documents</t>
  </si>
  <si>
    <t xml:space="preserve">Customer Service </t>
  </si>
  <si>
    <t>customer
information system</t>
  </si>
  <si>
    <t>Enter Customer Data into CRM</t>
  </si>
  <si>
    <t>Compare Data with Customer Database</t>
  </si>
  <si>
    <t>Customer Exists?</t>
  </si>
  <si>
    <t>Check Data for Completeness and Plausibility</t>
  </si>
  <si>
    <t>Errors?</t>
  </si>
  <si>
    <t>Correct Errors using Error List</t>
  </si>
  <si>
    <t>Create New Customer Object</t>
  </si>
  <si>
    <t>Prepare Contract Documents for Switch-over</t>
  </si>
  <si>
    <t>Automated Check of Contract Documents in CIS</t>
  </si>
  <si>
    <t>Contract Documents Correct?</t>
  </si>
  <si>
    <t>Analyze and Resolve Issues</t>
  </si>
  <si>
    <t>Regenerate Contract Documents</t>
  </si>
  <si>
    <t>Send Confirmation Document to Customer</t>
  </si>
  <si>
    <t>Send Request to Grid Operator</t>
  </si>
  <si>
    <t>Supplier Concurrence?</t>
  </si>
  <si>
    <t>Create CIS Contract</t>
  </si>
  <si>
    <t>Receive Withdrawal Notice from Customer</t>
  </si>
  <si>
    <t>Receive Contract Confirmation from Customer</t>
  </si>
  <si>
    <t>Wait for 7 days (Auto-accept)</t>
  </si>
  <si>
    <t>Import Meter Data to Systems</t>
  </si>
  <si>
    <t>Event-based confrim or withdraw</t>
  </si>
  <si>
    <t>Grid Operator</t>
  </si>
  <si>
    <t>Check Supplier Concurrence</t>
  </si>
  <si>
    <t xml:space="preserve">Transmit Response Comment </t>
  </si>
  <si>
    <t>Inform Suppliers and Demand Conflict Resolution</t>
  </si>
  <si>
    <t>Terminate Sales Agreement with Old Supplier</t>
  </si>
  <si>
    <t>Compute Final Billing</t>
  </si>
  <si>
    <t>At the same time ||</t>
  </si>
  <si>
    <t>services consumption report</t>
  </si>
  <si>
    <t>Old Supplier</t>
  </si>
  <si>
    <t>Create Final Bill for Customer: Old Supplier</t>
  </si>
  <si>
    <t>Send Final Bill to Customer: Old Supplier</t>
  </si>
  <si>
    <t>Switch-over Request</t>
  </si>
  <si>
    <t>Contract Confirmation</t>
  </si>
  <si>
    <t>Withdrawal Notice</t>
  </si>
  <si>
    <t>Final Bill</t>
  </si>
  <si>
    <t>Prepare Switch-over Request and Data</t>
  </si>
  <si>
    <t>Prepare Contract Confirmation (optional)</t>
  </si>
  <si>
    <t>Prepare Withdrawal Notice</t>
  </si>
  <si>
    <t>Wait for 7 days (if no confirmation)</t>
  </si>
  <si>
    <t>Receive Final Bill from Old Supplier</t>
  </si>
  <si>
    <t>Error List</t>
  </si>
  <si>
    <t>CIS System</t>
  </si>
  <si>
    <t>Receive Switch-over Request and Data from Customer</t>
  </si>
  <si>
    <t>Generate Confirmation Document</t>
  </si>
  <si>
    <t>Receive Grid Operator Response</t>
  </si>
  <si>
    <t>Receive Conflict Resolution from Grid Operator</t>
  </si>
  <si>
    <t>Sales</t>
  </si>
  <si>
    <t>Distribution</t>
  </si>
  <si>
    <t>Response Comment</t>
  </si>
  <si>
    <t>Receive Switch-over Request from New Supplier</t>
  </si>
  <si>
    <t>Send Final Billing to Old Supplier</t>
  </si>
  <si>
    <t>Billing</t>
  </si>
  <si>
    <t>Receive Final Billing from Grid Operator</t>
  </si>
  <si>
    <t>confrim or withdraw</t>
  </si>
  <si>
    <t>Customer Object</t>
  </si>
  <si>
    <t>CRM System</t>
  </si>
  <si>
    <t>Re-Check Data</t>
  </si>
  <si>
    <t>Regard Contract as Accepted</t>
  </si>
  <si>
    <t>Conflict Resolution</t>
  </si>
  <si>
    <t>Prepare Meter Data and Service Consumption Report</t>
  </si>
  <si>
    <t>Send Meter Data to Company</t>
  </si>
  <si>
    <t>Send Meter Data to Old Supplier</t>
  </si>
  <si>
    <t>Grid Operator Response</t>
  </si>
  <si>
    <t>Send Conflict Resolution to Company</t>
  </si>
  <si>
    <t>Prepare Grid Operator Response</t>
  </si>
  <si>
    <t>Receive Confirmation Document/ Receive Contract Details</t>
  </si>
  <si>
    <t>Wait for Grid Operator to Resolve Conflict</t>
  </si>
  <si>
    <t>Wait until Switch Date (max 10 days after supply start)</t>
  </si>
  <si>
    <t>Receive Meter Data/Service Consumption Report  from Grid Operator</t>
  </si>
  <si>
    <t>Send Service Consumption Report to Customer</t>
  </si>
  <si>
    <t>Confirmation Document/Contract Details</t>
  </si>
  <si>
    <t>Wait for Consumption Report</t>
  </si>
  <si>
    <t>Demand Conflict Resolution</t>
  </si>
  <si>
    <t>BPMNChatbot++</t>
  </si>
  <si>
    <t>XML Baseline</t>
  </si>
  <si>
    <t>cluster 1</t>
  </si>
  <si>
    <t>cluster 2</t>
  </si>
  <si>
    <t>cluster 3</t>
  </si>
  <si>
    <t>cluster 4</t>
  </si>
  <si>
    <t>Avg. Semantic  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</si>
</sst>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color rgb="FFFF0000"/>
      <name val="Arial"/>
      <family val="2"/>
    </font>
    <font>
      <sz val="12"/>
      <color rgb="FFFFC000"/>
      <name val="Arial"/>
      <family val="2"/>
    </font>
    <font>
      <sz val="8"/>
      <color theme="1"/>
      <name val="Arial"/>
      <family val="2"/>
    </font>
    <font>
      <sz val="10"/>
      <color rgb="FF000000"/>
      <name val="Arial"/>
      <family val="2"/>
    </font>
  </fonts>
  <fills count="5">
    <fill>
      <patternFill patternType="none"/>
    </fill>
    <fill>
      <patternFill patternType="gray125"/>
    </fill>
    <fill>
      <patternFill patternType="solid">
        <fgColor theme="2"/>
        <bgColor indexed="64"/>
      </patternFill>
    </fill>
    <fill>
      <patternFill patternType="solid">
        <fgColor theme="5"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wrapText="1"/>
    </xf>
    <xf numFmtId="0" fontId="0" fillId="2" borderId="0" xfId="0" applyFill="1"/>
    <xf numFmtId="0" fontId="0" fillId="2" borderId="0" xfId="0" applyFill="1" applyAlignment="1">
      <alignment wrapText="1"/>
    </xf>
    <xf numFmtId="0" fontId="1" fillId="0" borderId="0" xfId="0" applyFont="1" applyAlignment="1">
      <alignment wrapText="1"/>
    </xf>
    <xf numFmtId="0" fontId="4" fillId="0" borderId="0" xfId="0" applyFont="1" applyAlignment="1">
      <alignment vertical="center"/>
    </xf>
    <xf numFmtId="0" fontId="5"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0" fillId="3" borderId="0" xfId="0" applyFill="1"/>
    <xf numFmtId="0" fontId="0" fillId="4" borderId="0" xfId="0" applyFill="1"/>
    <xf numFmtId="0" fontId="4"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horizontal="left"/>
    </xf>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Avg.</a:t>
            </a:r>
            <a:r>
              <a:rPr lang="en-US" b="1" baseline="0">
                <a:solidFill>
                  <a:sysClr val="windowText" lastClr="000000"/>
                </a:solidFill>
              </a:rPr>
              <a:t> Semantic Precision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Avg!$B$1</c:f>
              <c:strCache>
                <c:ptCount val="1"/>
                <c:pt idx="0">
                  <c:v>BPMNChatbot++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Avg!$B$2:$B$17</c:f>
              <c:numCache>
                <c:formatCode>General</c:formatCode>
                <c:ptCount val="16"/>
                <c:pt idx="0">
                  <c:v>92.307692307692307</c:v>
                </c:pt>
                <c:pt idx="1">
                  <c:v>94.444444444444457</c:v>
                </c:pt>
                <c:pt idx="2">
                  <c:v>79.545454545454547</c:v>
                </c:pt>
                <c:pt idx="3">
                  <c:v>97.222222222222214</c:v>
                </c:pt>
                <c:pt idx="4">
                  <c:v>100</c:v>
                </c:pt>
                <c:pt idx="5">
                  <c:v>97.435897435897445</c:v>
                </c:pt>
                <c:pt idx="6">
                  <c:v>98.76543209876543</c:v>
                </c:pt>
                <c:pt idx="7">
                  <c:v>95.034482758620697</c:v>
                </c:pt>
                <c:pt idx="8">
                  <c:v>100</c:v>
                </c:pt>
                <c:pt idx="9">
                  <c:v>84.366471734892784</c:v>
                </c:pt>
                <c:pt idx="10">
                  <c:v>100</c:v>
                </c:pt>
                <c:pt idx="11">
                  <c:v>97.777777777777771</c:v>
                </c:pt>
                <c:pt idx="12">
                  <c:v>95.238095238095241</c:v>
                </c:pt>
                <c:pt idx="13">
                  <c:v>81.88095238095238</c:v>
                </c:pt>
                <c:pt idx="14">
                  <c:v>100</c:v>
                </c:pt>
                <c:pt idx="15">
                  <c:v>97.346405228758158</c:v>
                </c:pt>
              </c:numCache>
            </c:numRef>
          </c:val>
          <c:smooth val="0"/>
          <c:extLst>
            <c:ext xmlns:c16="http://schemas.microsoft.com/office/drawing/2014/chart" uri="{C3380CC4-5D6E-409C-BE32-E72D297353CC}">
              <c16:uniqueId val="{00000000-6D97-43D2-A4D9-0852222246D3}"/>
            </c:ext>
          </c:extLst>
        </c:ser>
        <c:ser>
          <c:idx val="1"/>
          <c:order val="1"/>
          <c:tx>
            <c:strRef>
              <c:f>Avg!$C$1</c:f>
              <c:strCache>
                <c:ptCount val="1"/>
                <c:pt idx="0">
                  <c:v>XML Baseline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Avg!$C$2:$C$17</c:f>
              <c:numCache>
                <c:formatCode>General</c:formatCode>
                <c:ptCount val="16"/>
                <c:pt idx="0">
                  <c:v>91.666666666666671</c:v>
                </c:pt>
                <c:pt idx="1">
                  <c:v>85.858585858585869</c:v>
                </c:pt>
                <c:pt idx="2">
                  <c:v>84.545454545454547</c:v>
                </c:pt>
                <c:pt idx="3">
                  <c:v>85.990338164251213</c:v>
                </c:pt>
                <c:pt idx="4">
                  <c:v>95.238095238095241</c:v>
                </c:pt>
                <c:pt idx="5">
                  <c:v>83.915343915343911</c:v>
                </c:pt>
                <c:pt idx="6">
                  <c:v>98.550724637681171</c:v>
                </c:pt>
                <c:pt idx="7">
                  <c:v>89.170041428105947</c:v>
                </c:pt>
                <c:pt idx="8">
                  <c:v>91.911764705882362</c:v>
                </c:pt>
                <c:pt idx="9">
                  <c:v>83.856209150326791</c:v>
                </c:pt>
                <c:pt idx="10">
                  <c:v>93.174603174603178</c:v>
                </c:pt>
                <c:pt idx="11">
                  <c:v>98.148148148148152</c:v>
                </c:pt>
                <c:pt idx="12">
                  <c:v>89.102564102564102</c:v>
                </c:pt>
                <c:pt idx="13">
                  <c:v>93.205128205128219</c:v>
                </c:pt>
                <c:pt idx="14">
                  <c:v>100</c:v>
                </c:pt>
                <c:pt idx="15">
                  <c:v>99.290780141843967</c:v>
                </c:pt>
              </c:numCache>
            </c:numRef>
          </c:val>
          <c:smooth val="0"/>
          <c:extLst>
            <c:ext xmlns:c16="http://schemas.microsoft.com/office/drawing/2014/chart" uri="{C3380CC4-5D6E-409C-BE32-E72D297353CC}">
              <c16:uniqueId val="{00000001-6D97-43D2-A4D9-0852222246D3}"/>
            </c:ext>
          </c:extLst>
        </c:ser>
        <c:dLbls>
          <c:showLegendKey val="0"/>
          <c:showVal val="0"/>
          <c:showCatName val="0"/>
          <c:showSerName val="0"/>
          <c:showPercent val="0"/>
          <c:showBubbleSize val="0"/>
        </c:dLbls>
        <c:marker val="1"/>
        <c:smooth val="0"/>
        <c:axId val="328681600"/>
        <c:axId val="328685920"/>
      </c:lineChart>
      <c:catAx>
        <c:axId val="328681600"/>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Case</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28685920"/>
        <c:crossesAt val="75"/>
        <c:auto val="1"/>
        <c:lblAlgn val="ctr"/>
        <c:lblOffset val="100"/>
        <c:noMultiLvlLbl val="0"/>
      </c:catAx>
      <c:valAx>
        <c:axId val="328685920"/>
        <c:scaling>
          <c:orientation val="minMax"/>
          <c:max val="100"/>
          <c:min val="7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i="0" u="none" strike="noStrike" baseline="0">
                    <a:solidFill>
                      <a:sysClr val="windowText" lastClr="000000"/>
                    </a:solidFill>
                    <a:effectLst/>
                  </a:rPr>
                  <a:t>Precision</a:t>
                </a:r>
                <a:endParaRPr lang="en-US"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28681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Avg. Semantic  Recall</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Avg!$G$1</c:f>
              <c:strCache>
                <c:ptCount val="1"/>
                <c:pt idx="0">
                  <c:v>BPMNChatbot++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Avg!$G$2:$G$17</c:f>
              <c:numCache>
                <c:formatCode>General</c:formatCode>
                <c:ptCount val="16"/>
                <c:pt idx="0">
                  <c:v>100</c:v>
                </c:pt>
                <c:pt idx="1">
                  <c:v>100</c:v>
                </c:pt>
                <c:pt idx="2">
                  <c:v>100</c:v>
                </c:pt>
                <c:pt idx="3">
                  <c:v>100</c:v>
                </c:pt>
                <c:pt idx="4">
                  <c:v>100</c:v>
                </c:pt>
                <c:pt idx="5">
                  <c:v>85.714285714285708</c:v>
                </c:pt>
                <c:pt idx="6">
                  <c:v>95.238095238095241</c:v>
                </c:pt>
                <c:pt idx="7">
                  <c:v>87.777777777777771</c:v>
                </c:pt>
                <c:pt idx="8">
                  <c:v>100</c:v>
                </c:pt>
                <c:pt idx="9">
                  <c:v>100</c:v>
                </c:pt>
                <c:pt idx="10">
                  <c:v>93.75</c:v>
                </c:pt>
                <c:pt idx="11">
                  <c:v>94.252873563218373</c:v>
                </c:pt>
                <c:pt idx="12">
                  <c:v>70.588235294117638</c:v>
                </c:pt>
                <c:pt idx="13">
                  <c:v>100</c:v>
                </c:pt>
                <c:pt idx="14">
                  <c:v>95.391532601228377</c:v>
                </c:pt>
                <c:pt idx="15">
                  <c:v>91.311437223386903</c:v>
                </c:pt>
              </c:numCache>
            </c:numRef>
          </c:val>
          <c:smooth val="0"/>
          <c:extLst>
            <c:ext xmlns:c16="http://schemas.microsoft.com/office/drawing/2014/chart" uri="{C3380CC4-5D6E-409C-BE32-E72D297353CC}">
              <c16:uniqueId val="{00000000-0B3B-45D6-BB87-14D4C67D2AE5}"/>
            </c:ext>
          </c:extLst>
        </c:ser>
        <c:ser>
          <c:idx val="1"/>
          <c:order val="1"/>
          <c:tx>
            <c:strRef>
              <c:f>Avg!$H$1</c:f>
              <c:strCache>
                <c:ptCount val="1"/>
                <c:pt idx="0">
                  <c:v>XML Baseline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Avg!$H$2:$H$17</c:f>
              <c:numCache>
                <c:formatCode>General</c:formatCode>
                <c:ptCount val="16"/>
                <c:pt idx="0">
                  <c:v>100</c:v>
                </c:pt>
                <c:pt idx="1">
                  <c:v>100</c:v>
                </c:pt>
                <c:pt idx="2">
                  <c:v>100</c:v>
                </c:pt>
                <c:pt idx="3">
                  <c:v>100</c:v>
                </c:pt>
                <c:pt idx="4">
                  <c:v>100</c:v>
                </c:pt>
                <c:pt idx="5">
                  <c:v>92.857142857142847</c:v>
                </c:pt>
                <c:pt idx="6">
                  <c:v>73.80952380952381</c:v>
                </c:pt>
                <c:pt idx="7">
                  <c:v>97.777777777777786</c:v>
                </c:pt>
                <c:pt idx="8">
                  <c:v>95.833333333333329</c:v>
                </c:pt>
                <c:pt idx="9">
                  <c:v>95.833333333333329</c:v>
                </c:pt>
                <c:pt idx="10">
                  <c:v>81.25</c:v>
                </c:pt>
                <c:pt idx="11">
                  <c:v>62.068965517241374</c:v>
                </c:pt>
                <c:pt idx="12">
                  <c:v>70.588235294117652</c:v>
                </c:pt>
                <c:pt idx="13">
                  <c:v>70.175438596491233</c:v>
                </c:pt>
                <c:pt idx="14">
                  <c:v>92.517627597144042</c:v>
                </c:pt>
                <c:pt idx="15">
                  <c:v>83.857442348008391</c:v>
                </c:pt>
              </c:numCache>
            </c:numRef>
          </c:val>
          <c:smooth val="0"/>
          <c:extLst>
            <c:ext xmlns:c16="http://schemas.microsoft.com/office/drawing/2014/chart" uri="{C3380CC4-5D6E-409C-BE32-E72D297353CC}">
              <c16:uniqueId val="{00000001-0B3B-45D6-BB87-14D4C67D2AE5}"/>
            </c:ext>
          </c:extLst>
        </c:ser>
        <c:dLbls>
          <c:showLegendKey val="0"/>
          <c:showVal val="0"/>
          <c:showCatName val="0"/>
          <c:showSerName val="0"/>
          <c:showPercent val="0"/>
          <c:showBubbleSize val="0"/>
        </c:dLbls>
        <c:marker val="1"/>
        <c:smooth val="0"/>
        <c:axId val="328658080"/>
        <c:axId val="328656640"/>
      </c:lineChart>
      <c:catAx>
        <c:axId val="328658080"/>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Case</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28656640"/>
        <c:crosses val="autoZero"/>
        <c:auto val="1"/>
        <c:lblAlgn val="ctr"/>
        <c:lblOffset val="100"/>
        <c:noMultiLvlLbl val="0"/>
      </c:catAx>
      <c:valAx>
        <c:axId val="328656640"/>
        <c:scaling>
          <c:orientation val="minMax"/>
          <c:max val="100"/>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Recall</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2865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solidFill>
                  <a:sysClr val="windowText" lastClr="000000"/>
                </a:solidFill>
                <a:effectLst/>
              </a:rPr>
              <a:t>Avg. Semantic Precision</a:t>
            </a:r>
            <a:endParaRPr lang="en-US" sz="1400" b="1">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Avg!$B$19</c:f>
              <c:strCache>
                <c:ptCount val="1"/>
                <c:pt idx="0">
                  <c:v>BPMNChatbot++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Avg!$B$20:$B$23</c:f>
              <c:numCache>
                <c:formatCode>General</c:formatCode>
                <c:ptCount val="4"/>
                <c:pt idx="0">
                  <c:v>90.879953379953392</c:v>
                </c:pt>
                <c:pt idx="1">
                  <c:v>97.808953073320893</c:v>
                </c:pt>
                <c:pt idx="2">
                  <c:v>95.536062378167642</c:v>
                </c:pt>
                <c:pt idx="3">
                  <c:v>93.616363211951438</c:v>
                </c:pt>
              </c:numCache>
            </c:numRef>
          </c:val>
          <c:smooth val="0"/>
          <c:extLst>
            <c:ext xmlns:c16="http://schemas.microsoft.com/office/drawing/2014/chart" uri="{C3380CC4-5D6E-409C-BE32-E72D297353CC}">
              <c16:uniqueId val="{00000000-E14D-4D33-AEFB-B4A60E642C3F}"/>
            </c:ext>
          </c:extLst>
        </c:ser>
        <c:ser>
          <c:idx val="1"/>
          <c:order val="1"/>
          <c:tx>
            <c:strRef>
              <c:f>Avg!$C$19</c:f>
              <c:strCache>
                <c:ptCount val="1"/>
                <c:pt idx="0">
                  <c:v>XML Baseline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Avg!$C$20:$C$23</c:f>
              <c:numCache>
                <c:formatCode>General</c:formatCode>
                <c:ptCount val="4"/>
                <c:pt idx="0">
                  <c:v>87.015261308739582</c:v>
                </c:pt>
                <c:pt idx="1">
                  <c:v>91.718551304806567</c:v>
                </c:pt>
                <c:pt idx="2">
                  <c:v>91.772681294740124</c:v>
                </c:pt>
                <c:pt idx="3">
                  <c:v>95.399618112384076</c:v>
                </c:pt>
              </c:numCache>
            </c:numRef>
          </c:val>
          <c:smooth val="0"/>
          <c:extLst>
            <c:ext xmlns:c16="http://schemas.microsoft.com/office/drawing/2014/chart" uri="{C3380CC4-5D6E-409C-BE32-E72D297353CC}">
              <c16:uniqueId val="{00000001-E14D-4D33-AEFB-B4A60E642C3F}"/>
            </c:ext>
          </c:extLst>
        </c:ser>
        <c:dLbls>
          <c:showLegendKey val="0"/>
          <c:showVal val="0"/>
          <c:showCatName val="0"/>
          <c:showSerName val="0"/>
          <c:showPercent val="0"/>
          <c:showBubbleSize val="0"/>
        </c:dLbls>
        <c:marker val="1"/>
        <c:smooth val="0"/>
        <c:axId val="501924895"/>
        <c:axId val="501924479"/>
      </c:lineChart>
      <c:catAx>
        <c:axId val="501924895"/>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Cluster</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01924479"/>
        <c:crossesAt val="75"/>
        <c:auto val="1"/>
        <c:lblAlgn val="ctr"/>
        <c:lblOffset val="100"/>
        <c:noMultiLvlLbl val="0"/>
      </c:catAx>
      <c:valAx>
        <c:axId val="501924479"/>
        <c:scaling>
          <c:orientation val="minMax"/>
          <c:max val="100"/>
          <c:min val="7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sz="1000" b="1" i="0" u="none" strike="noStrike" baseline="0">
                    <a:solidFill>
                      <a:sysClr val="windowText" lastClr="000000"/>
                    </a:solidFill>
                    <a:effectLst/>
                  </a:rPr>
                  <a:t>Precision</a:t>
                </a:r>
                <a:endParaRPr lang="en-US"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01924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0" baseline="0">
                <a:solidFill>
                  <a:sysClr val="windowText" lastClr="000000"/>
                </a:solidFill>
                <a:effectLst/>
              </a:rPr>
              <a:t>Avg. Semantic  Recall</a:t>
            </a:r>
            <a:endParaRPr lang="en-US" sz="1100" b="1">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Avg!$G$19</c:f>
              <c:strCache>
                <c:ptCount val="1"/>
                <c:pt idx="0">
                  <c:v>BPMNChatbot++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Avg!$G$20:$G$23</c:f>
              <c:numCache>
                <c:formatCode>General</c:formatCode>
                <c:ptCount val="4"/>
                <c:pt idx="0">
                  <c:v>100</c:v>
                </c:pt>
                <c:pt idx="1">
                  <c:v>92.182539682539684</c:v>
                </c:pt>
                <c:pt idx="2">
                  <c:v>97.000718390804593</c:v>
                </c:pt>
                <c:pt idx="3">
                  <c:v>89.322801279683233</c:v>
                </c:pt>
              </c:numCache>
            </c:numRef>
          </c:val>
          <c:smooth val="0"/>
          <c:extLst>
            <c:ext xmlns:c16="http://schemas.microsoft.com/office/drawing/2014/chart" uri="{C3380CC4-5D6E-409C-BE32-E72D297353CC}">
              <c16:uniqueId val="{00000000-C6E5-4571-8392-2CD15A23CC9A}"/>
            </c:ext>
          </c:extLst>
        </c:ser>
        <c:ser>
          <c:idx val="1"/>
          <c:order val="1"/>
          <c:tx>
            <c:strRef>
              <c:f>Avg!$H$19</c:f>
              <c:strCache>
                <c:ptCount val="1"/>
                <c:pt idx="0">
                  <c:v>XML Baseline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Avg!$H$20:$H$23</c:f>
              <c:numCache>
                <c:formatCode>General</c:formatCode>
                <c:ptCount val="4"/>
                <c:pt idx="0">
                  <c:v>100</c:v>
                </c:pt>
                <c:pt idx="1">
                  <c:v>91.1111111111111</c:v>
                </c:pt>
                <c:pt idx="2">
                  <c:v>83.746408045977006</c:v>
                </c:pt>
                <c:pt idx="3">
                  <c:v>79.284685958940329</c:v>
                </c:pt>
              </c:numCache>
            </c:numRef>
          </c:val>
          <c:smooth val="0"/>
          <c:extLst>
            <c:ext xmlns:c16="http://schemas.microsoft.com/office/drawing/2014/chart" uri="{C3380CC4-5D6E-409C-BE32-E72D297353CC}">
              <c16:uniqueId val="{00000001-C6E5-4571-8392-2CD15A23CC9A}"/>
            </c:ext>
          </c:extLst>
        </c:ser>
        <c:dLbls>
          <c:showLegendKey val="0"/>
          <c:showVal val="0"/>
          <c:showCatName val="0"/>
          <c:showSerName val="0"/>
          <c:showPercent val="0"/>
          <c:showBubbleSize val="0"/>
        </c:dLbls>
        <c:marker val="1"/>
        <c:smooth val="0"/>
        <c:axId val="439875503"/>
        <c:axId val="439877167"/>
      </c:lineChart>
      <c:catAx>
        <c:axId val="439875503"/>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sz="1000" b="1" i="0" u="none" strike="noStrike" baseline="0">
                    <a:solidFill>
                      <a:sysClr val="windowText" lastClr="000000"/>
                    </a:solidFill>
                    <a:effectLst/>
                  </a:rPr>
                  <a:t>Cluster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39877167"/>
        <c:crossesAt val="75"/>
        <c:auto val="1"/>
        <c:lblAlgn val="ctr"/>
        <c:lblOffset val="100"/>
        <c:noMultiLvlLbl val="0"/>
      </c:catAx>
      <c:valAx>
        <c:axId val="439877167"/>
        <c:scaling>
          <c:orientation val="minMax"/>
          <c:max val="100"/>
          <c:min val="7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i="0" u="none" strike="noStrike" baseline="0">
                    <a:solidFill>
                      <a:sysClr val="windowText" lastClr="000000"/>
                    </a:solidFill>
                    <a:effectLst/>
                  </a:rPr>
                  <a:t>Recall</a:t>
                </a:r>
                <a:endParaRPr lang="en-US"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39875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0" u="none" strike="noStrike" baseline="0">
                <a:solidFill>
                  <a:sysClr val="windowText" lastClr="000000"/>
                </a:solidFill>
                <a:effectLst/>
              </a:rPr>
              <a:t>Avg. Semantic F1-score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Avg!$L$19</c:f>
              <c:strCache>
                <c:ptCount val="1"/>
                <c:pt idx="0">
                  <c:v>BPMNChatbot++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Avg!$L$20:$L$23</c:f>
              <c:numCache>
                <c:formatCode>General</c:formatCode>
                <c:ptCount val="4"/>
                <c:pt idx="0">
                  <c:v>95.222103495649506</c:v>
                </c:pt>
                <c:pt idx="1">
                  <c:v>94.912435996015859</c:v>
                </c:pt>
                <c:pt idx="2">
                  <c:v>96.262819456098356</c:v>
                </c:pt>
                <c:pt idx="3">
                  <c:v>91.419197534272783</c:v>
                </c:pt>
              </c:numCache>
            </c:numRef>
          </c:val>
          <c:smooth val="0"/>
          <c:extLst>
            <c:ext xmlns:c16="http://schemas.microsoft.com/office/drawing/2014/chart" uri="{C3380CC4-5D6E-409C-BE32-E72D297353CC}">
              <c16:uniqueId val="{00000000-7744-47A7-B059-AC74A87DA8E5}"/>
            </c:ext>
          </c:extLst>
        </c:ser>
        <c:ser>
          <c:idx val="1"/>
          <c:order val="1"/>
          <c:tx>
            <c:strRef>
              <c:f>Avg!$M$19</c:f>
              <c:strCache>
                <c:ptCount val="1"/>
                <c:pt idx="0">
                  <c:v>XML Baseline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Avg!$M$20:$M$23</c:f>
              <c:numCache>
                <c:formatCode>General</c:formatCode>
                <c:ptCount val="4"/>
                <c:pt idx="0">
                  <c:v>93.056856108751361</c:v>
                </c:pt>
                <c:pt idx="1">
                  <c:v>91.413822116807978</c:v>
                </c:pt>
                <c:pt idx="2">
                  <c:v>87.576028841664979</c:v>
                </c:pt>
                <c:pt idx="3">
                  <c:v>86.598836716948568</c:v>
                </c:pt>
              </c:numCache>
            </c:numRef>
          </c:val>
          <c:smooth val="0"/>
          <c:extLst>
            <c:ext xmlns:c16="http://schemas.microsoft.com/office/drawing/2014/chart" uri="{C3380CC4-5D6E-409C-BE32-E72D297353CC}">
              <c16:uniqueId val="{00000001-7744-47A7-B059-AC74A87DA8E5}"/>
            </c:ext>
          </c:extLst>
        </c:ser>
        <c:dLbls>
          <c:showLegendKey val="0"/>
          <c:showVal val="0"/>
          <c:showCatName val="0"/>
          <c:showSerName val="0"/>
          <c:showPercent val="0"/>
          <c:showBubbleSize val="0"/>
        </c:dLbls>
        <c:marker val="1"/>
        <c:smooth val="0"/>
        <c:axId val="682132192"/>
        <c:axId val="682127872"/>
      </c:lineChart>
      <c:catAx>
        <c:axId val="68213219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sz="1000" b="1" i="0" u="none" strike="noStrike" kern="1200" baseline="0">
                    <a:solidFill>
                      <a:sysClr val="windowText" lastClr="000000"/>
                    </a:solidFill>
                    <a:effectLst/>
                  </a:rPr>
                  <a:t>Cluster</a:t>
                </a:r>
                <a:endParaRPr lang="en-US" sz="1000" b="1" i="0" u="none" strike="noStrike" kern="1200" baseline="0">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82127872"/>
        <c:crosses val="autoZero"/>
        <c:auto val="1"/>
        <c:lblAlgn val="ctr"/>
        <c:lblOffset val="100"/>
        <c:noMultiLvlLbl val="0"/>
      </c:catAx>
      <c:valAx>
        <c:axId val="682127872"/>
        <c:scaling>
          <c:orientation val="minMax"/>
          <c:max val="100"/>
          <c:min val="8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sz="1000" b="1" i="0" u="none" strike="noStrike" kern="1200" baseline="0">
                    <a:solidFill>
                      <a:sysClr val="windowText" lastClr="000000"/>
                    </a:solidFill>
                    <a:effectLst/>
                  </a:rPr>
                  <a:t>F1-score</a:t>
                </a:r>
                <a:endParaRPr lang="en-US">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82132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effectLst/>
              </a:rPr>
              <a:t>Avg. Semantic F1-score</a:t>
            </a:r>
            <a:endParaRPr lang="en-US" sz="1400" b="1" i="0" u="none" strike="noStrike" kern="1200" spc="0" baseline="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Avg!$L$1</c:f>
              <c:strCache>
                <c:ptCount val="1"/>
                <c:pt idx="0">
                  <c:v>BPMNChatbot++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Avg!$L$2:$L$17</c:f>
              <c:numCache>
                <c:formatCode>General</c:formatCode>
                <c:ptCount val="16"/>
                <c:pt idx="0">
                  <c:v>95.999999999999986</c:v>
                </c:pt>
                <c:pt idx="1">
                  <c:v>97.142857142857139</c:v>
                </c:pt>
                <c:pt idx="2">
                  <c:v>88.607594936708864</c:v>
                </c:pt>
                <c:pt idx="3">
                  <c:v>98.591549295774627</c:v>
                </c:pt>
                <c:pt idx="4">
                  <c:v>100</c:v>
                </c:pt>
                <c:pt idx="5">
                  <c:v>91.199999999999989</c:v>
                </c:pt>
                <c:pt idx="6">
                  <c:v>96.969696969696969</c:v>
                </c:pt>
                <c:pt idx="7">
                  <c:v>91.262103365888422</c:v>
                </c:pt>
                <c:pt idx="8">
                  <c:v>100</c:v>
                </c:pt>
                <c:pt idx="9">
                  <c:v>91.520406005497989</c:v>
                </c:pt>
                <c:pt idx="10">
                  <c:v>96.774193548387103</c:v>
                </c:pt>
                <c:pt idx="11">
                  <c:v>95.982974195264674</c:v>
                </c:pt>
                <c:pt idx="12">
                  <c:v>81.081081081081095</c:v>
                </c:pt>
                <c:pt idx="13">
                  <c:v>90.037963084173313</c:v>
                </c:pt>
                <c:pt idx="14">
                  <c:v>97.641419084327978</c:v>
                </c:pt>
                <c:pt idx="15">
                  <c:v>94.232395053737292</c:v>
                </c:pt>
              </c:numCache>
            </c:numRef>
          </c:val>
          <c:smooth val="0"/>
          <c:extLst>
            <c:ext xmlns:c16="http://schemas.microsoft.com/office/drawing/2014/chart" uri="{C3380CC4-5D6E-409C-BE32-E72D297353CC}">
              <c16:uniqueId val="{00000000-93B1-4917-B2A7-3089C935C4C8}"/>
            </c:ext>
          </c:extLst>
        </c:ser>
        <c:ser>
          <c:idx val="1"/>
          <c:order val="1"/>
          <c:tx>
            <c:strRef>
              <c:f>Avg!$M$1</c:f>
              <c:strCache>
                <c:ptCount val="1"/>
                <c:pt idx="0">
                  <c:v>XML Baseline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Avg!$M$2:$M$17</c:f>
              <c:numCache>
                <c:formatCode>General</c:formatCode>
                <c:ptCount val="16"/>
                <c:pt idx="0">
                  <c:v>95.652173913043484</c:v>
                </c:pt>
                <c:pt idx="1">
                  <c:v>92.391304347826093</c:v>
                </c:pt>
                <c:pt idx="2">
                  <c:v>91.62561576354679</c:v>
                </c:pt>
                <c:pt idx="3">
                  <c:v>92.46753246753245</c:v>
                </c:pt>
                <c:pt idx="4">
                  <c:v>97.560975609756099</c:v>
                </c:pt>
                <c:pt idx="5">
                  <c:v>88.160088938299054</c:v>
                </c:pt>
                <c:pt idx="6">
                  <c:v>84.404404404404403</c:v>
                </c:pt>
                <c:pt idx="7">
                  <c:v>93.275744346507764</c:v>
                </c:pt>
                <c:pt idx="8">
                  <c:v>93.831592689295036</c:v>
                </c:pt>
                <c:pt idx="9">
                  <c:v>89.445606377496887</c:v>
                </c:pt>
                <c:pt idx="10">
                  <c:v>86.804686611307005</c:v>
                </c:pt>
                <c:pt idx="11">
                  <c:v>76.046233559186931</c:v>
                </c:pt>
                <c:pt idx="12">
                  <c:v>78.77213695395514</c:v>
                </c:pt>
                <c:pt idx="13">
                  <c:v>80.067181541596113</c:v>
                </c:pt>
                <c:pt idx="14">
                  <c:v>96.113409199850864</c:v>
                </c:pt>
                <c:pt idx="15">
                  <c:v>90.923851274557563</c:v>
                </c:pt>
              </c:numCache>
            </c:numRef>
          </c:val>
          <c:smooth val="0"/>
          <c:extLst>
            <c:ext xmlns:c16="http://schemas.microsoft.com/office/drawing/2014/chart" uri="{C3380CC4-5D6E-409C-BE32-E72D297353CC}">
              <c16:uniqueId val="{00000001-93B1-4917-B2A7-3089C935C4C8}"/>
            </c:ext>
          </c:extLst>
        </c:ser>
        <c:dLbls>
          <c:showLegendKey val="0"/>
          <c:showVal val="0"/>
          <c:showCatName val="0"/>
          <c:showSerName val="0"/>
          <c:showPercent val="0"/>
          <c:showBubbleSize val="0"/>
        </c:dLbls>
        <c:marker val="1"/>
        <c:smooth val="0"/>
        <c:axId val="740571984"/>
        <c:axId val="740566704"/>
      </c:lineChart>
      <c:catAx>
        <c:axId val="740571984"/>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b="1">
                    <a:solidFill>
                      <a:sysClr val="windowText" lastClr="000000"/>
                    </a:solidFill>
                  </a:rPr>
                  <a:t>Case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40566704"/>
        <c:crosses val="autoZero"/>
        <c:auto val="1"/>
        <c:lblAlgn val="ctr"/>
        <c:lblOffset val="100"/>
        <c:noMultiLvlLbl val="0"/>
      </c:catAx>
      <c:valAx>
        <c:axId val="740566704"/>
        <c:scaling>
          <c:orientation val="minMax"/>
          <c:max val="100"/>
          <c:min val="7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sz="1000" b="1" i="0" u="none" strike="noStrike" kern="1200" baseline="0">
                    <a:solidFill>
                      <a:sysClr val="windowText" lastClr="000000"/>
                    </a:solidFill>
                    <a:effectLst/>
                  </a:rPr>
                  <a:t>F1-score</a:t>
                </a:r>
                <a:endParaRPr lang="en-US">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40571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188020</xdr:colOff>
      <xdr:row>28</xdr:row>
      <xdr:rowOff>141585</xdr:rowOff>
    </xdr:from>
    <xdr:to>
      <xdr:col>17</xdr:col>
      <xdr:colOff>320608</xdr:colOff>
      <xdr:row>43</xdr:row>
      <xdr:rowOff>122536</xdr:rowOff>
    </xdr:to>
    <xdr:graphicFrame macro="">
      <xdr:nvGraphicFramePr>
        <xdr:cNvPr id="3" name="Chart 2">
          <a:extLst>
            <a:ext uri="{FF2B5EF4-FFF2-40B4-BE49-F238E27FC236}">
              <a16:creationId xmlns:a16="http://schemas.microsoft.com/office/drawing/2014/main" id="{925BBD62-6527-BE0C-44B7-D1CF18A17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68267</xdr:colOff>
      <xdr:row>28</xdr:row>
      <xdr:rowOff>140141</xdr:rowOff>
    </xdr:from>
    <xdr:to>
      <xdr:col>26</xdr:col>
      <xdr:colOff>391355</xdr:colOff>
      <xdr:row>43</xdr:row>
      <xdr:rowOff>121091</xdr:rowOff>
    </xdr:to>
    <xdr:graphicFrame macro="">
      <xdr:nvGraphicFramePr>
        <xdr:cNvPr id="4" name="Chart 3">
          <a:extLst>
            <a:ext uri="{FF2B5EF4-FFF2-40B4-BE49-F238E27FC236}">
              <a16:creationId xmlns:a16="http://schemas.microsoft.com/office/drawing/2014/main" id="{868448B0-CD07-7A59-F04F-AE4975967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525516</xdr:colOff>
      <xdr:row>29</xdr:row>
      <xdr:rowOff>12164</xdr:rowOff>
    </xdr:from>
    <xdr:to>
      <xdr:col>5</xdr:col>
      <xdr:colOff>373116</xdr:colOff>
      <xdr:row>43</xdr:row>
      <xdr:rowOff>55223</xdr:rowOff>
    </xdr:to>
    <xdr:graphicFrame macro="">
      <xdr:nvGraphicFramePr>
        <xdr:cNvPr id="2" name="Chart 1">
          <a:extLst>
            <a:ext uri="{FF2B5EF4-FFF2-40B4-BE49-F238E27FC236}">
              <a16:creationId xmlns:a16="http://schemas.microsoft.com/office/drawing/2014/main" id="{EAE64BCB-31E2-45A1-A822-EB64FC83C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654942</xdr:colOff>
      <xdr:row>29</xdr:row>
      <xdr:rowOff>12165</xdr:rowOff>
    </xdr:from>
    <xdr:to>
      <xdr:col>10</xdr:col>
      <xdr:colOff>439042</xdr:colOff>
      <xdr:row>43</xdr:row>
      <xdr:rowOff>55224</xdr:rowOff>
    </xdr:to>
    <xdr:graphicFrame macro="">
      <xdr:nvGraphicFramePr>
        <xdr:cNvPr id="5" name="Chart 4">
          <a:extLst>
            <a:ext uri="{FF2B5EF4-FFF2-40B4-BE49-F238E27FC236}">
              <a16:creationId xmlns:a16="http://schemas.microsoft.com/office/drawing/2014/main" id="{A5CB584B-E5CB-4FE9-A984-0F85C5CED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355480</xdr:colOff>
      <xdr:row>4</xdr:row>
      <xdr:rowOff>7370</xdr:rowOff>
    </xdr:from>
    <xdr:to>
      <xdr:col>21</xdr:col>
      <xdr:colOff>50680</xdr:colOff>
      <xdr:row>18</xdr:row>
      <xdr:rowOff>146906</xdr:rowOff>
    </xdr:to>
    <xdr:graphicFrame macro="">
      <xdr:nvGraphicFramePr>
        <xdr:cNvPr id="8" name="Chart 7">
          <a:extLst>
            <a:ext uri="{FF2B5EF4-FFF2-40B4-BE49-F238E27FC236}">
              <a16:creationId xmlns:a16="http://schemas.microsoft.com/office/drawing/2014/main" id="{876702E3-3E4A-B2FC-8B75-CB7521D61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427644</xdr:colOff>
      <xdr:row>8</xdr:row>
      <xdr:rowOff>75181</xdr:rowOff>
    </xdr:from>
    <xdr:to>
      <xdr:col>29</xdr:col>
      <xdr:colOff>141132</xdr:colOff>
      <xdr:row>23</xdr:row>
      <xdr:rowOff>113752</xdr:rowOff>
    </xdr:to>
    <xdr:graphicFrame macro="">
      <xdr:nvGraphicFramePr>
        <xdr:cNvPr id="9" name="Chart 8">
          <a:extLst>
            <a:ext uri="{FF2B5EF4-FFF2-40B4-BE49-F238E27FC236}">
              <a16:creationId xmlns:a16="http://schemas.microsoft.com/office/drawing/2014/main" id="{DFDDE5E4-1B29-6A57-AC60-54E449845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12</xdr:col>
      <xdr:colOff>104775</xdr:colOff>
      <xdr:row>23</xdr:row>
      <xdr:rowOff>171450</xdr:rowOff>
    </xdr:from>
    <xdr:ext cx="3932379" cy="1814599"/>
    <xdr:sp macro="" textlink="">
      <xdr:nvSpPr>
        <xdr:cNvPr id="2" name="TextBox 1">
          <a:extLst>
            <a:ext uri="{FF2B5EF4-FFF2-40B4-BE49-F238E27FC236}">
              <a16:creationId xmlns:a16="http://schemas.microsoft.com/office/drawing/2014/main" id="{07B02151-E5EC-48BA-83E7-1D2B0CEDD6C3}"/>
            </a:ext>
          </a:extLst>
        </xdr:cNvPr>
        <xdr:cNvSpPr txBox="1"/>
      </xdr:nvSpPr>
      <xdr:spPr>
        <a:xfrm>
          <a:off x="12506325" y="3219450"/>
          <a:ext cx="3932379" cy="181459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fontAlgn="base"/>
          <a:r>
            <a:rPr lang="en-US" sz="1100" b="1" i="0">
              <a:solidFill>
                <a:schemeClr val="tx1"/>
              </a:solidFill>
              <a:effectLst/>
              <a:latin typeface="+mn-lt"/>
              <a:ea typeface="+mn-ea"/>
              <a:cs typeface="+mn-cs"/>
            </a:rPr>
            <a:t>Textual Description:  </a:t>
          </a:r>
        </a:p>
        <a:p>
          <a:pPr rtl="0" fontAlgn="base"/>
          <a:endParaRPr lang="en-US" sz="1100" b="0" i="0">
            <a:solidFill>
              <a:schemeClr val="tx1"/>
            </a:solidFill>
            <a:effectLst/>
            <a:latin typeface="+mn-lt"/>
            <a:ea typeface="+mn-ea"/>
            <a:cs typeface="+mn-cs"/>
          </a:endParaRPr>
        </a:p>
        <a:p>
          <a:pPr rtl="0" fontAlgn="base"/>
          <a:r>
            <a:rPr lang="en-US" sz="1100" b="0" i="0">
              <a:solidFill>
                <a:schemeClr val="tx1"/>
              </a:solidFill>
              <a:effectLst/>
              <a:latin typeface="+mn-lt"/>
              <a:ea typeface="+mn-ea"/>
              <a:cs typeface="+mn-cs"/>
            </a:rPr>
            <a:t>When the bank receives a new online application for opening a bank account, the application is evaluated. If the application is rejected, the customer is notified by email, and the process ends. If the application is approved, a new bank account is created. Before the process ends, the bank sends a welcome pack, a bank card, and a PIN number in separate letters to the customer. </a:t>
          </a:r>
        </a:p>
        <a:p>
          <a:pPr rtl="0" fontAlgn="base"/>
          <a:r>
            <a:rPr lang="en-US" sz="1100" b="0" i="0">
              <a:solidFill>
                <a:schemeClr val="tx1"/>
              </a:solidFill>
              <a:effectLst/>
              <a:latin typeface="+mn-lt"/>
              <a:ea typeface="+mn-ea"/>
              <a:cs typeface="+mn-cs"/>
            </a:rPr>
            <a:t> </a:t>
          </a:r>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9</xdr:col>
      <xdr:colOff>333375</xdr:colOff>
      <xdr:row>21</xdr:row>
      <xdr:rowOff>31750</xdr:rowOff>
    </xdr:from>
    <xdr:ext cx="3932379" cy="1642373"/>
    <xdr:sp macro="" textlink="">
      <xdr:nvSpPr>
        <xdr:cNvPr id="2" name="TextBox 1">
          <a:extLst>
            <a:ext uri="{FF2B5EF4-FFF2-40B4-BE49-F238E27FC236}">
              <a16:creationId xmlns:a16="http://schemas.microsoft.com/office/drawing/2014/main" id="{39AA02BD-CB02-4BD6-9110-F37B7111D824}"/>
            </a:ext>
          </a:extLst>
        </xdr:cNvPr>
        <xdr:cNvSpPr txBox="1"/>
      </xdr:nvSpPr>
      <xdr:spPr>
        <a:xfrm>
          <a:off x="11388725" y="3911600"/>
          <a:ext cx="3932379" cy="164237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fontAlgn="base"/>
          <a:r>
            <a:rPr lang="en-US" sz="1100" b="1" i="0">
              <a:solidFill>
                <a:schemeClr val="tx1"/>
              </a:solidFill>
              <a:effectLst/>
              <a:latin typeface="+mn-lt"/>
              <a:ea typeface="+mn-ea"/>
              <a:cs typeface="+mn-cs"/>
            </a:rPr>
            <a:t>Textual Description:  </a:t>
          </a:r>
        </a:p>
        <a:p>
          <a:pPr rtl="0" fontAlgn="base"/>
          <a:endParaRPr lang="en-US" sz="1100" b="0" i="0">
            <a:solidFill>
              <a:schemeClr val="tx1"/>
            </a:solidFill>
            <a:effectLst/>
            <a:latin typeface="+mn-lt"/>
            <a:ea typeface="+mn-ea"/>
            <a:cs typeface="+mn-cs"/>
          </a:endParaRPr>
        </a:p>
        <a:p>
          <a:r>
            <a:rPr lang="en-US" sz="1100">
              <a:solidFill>
                <a:schemeClr val="tx1"/>
              </a:solidFill>
              <a:effectLst/>
              <a:latin typeface="+mn-lt"/>
              <a:ea typeface="+mn-ea"/>
              <a:cs typeface="+mn-cs"/>
            </a:rPr>
            <a:t>Management orders a cash-out report which of the year and month is given by management, that an accountant filters out cash transactions from the cash database. If the query is not empty, the accountant prints a cash-out report, gives it to management; otherwise, there is no cash-out.</a:t>
          </a:r>
        </a:p>
        <a:p>
          <a:pPr rtl="0" fontAlgn="base"/>
          <a:r>
            <a:rPr lang="en-US" sz="1100" b="0" i="0">
              <a:solidFill>
                <a:schemeClr val="tx1"/>
              </a:solidFill>
              <a:effectLst/>
              <a:latin typeface="+mn-lt"/>
              <a:ea typeface="+mn-ea"/>
              <a:cs typeface="+mn-cs"/>
            </a:rPr>
            <a:t> </a:t>
          </a:r>
        </a:p>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12</xdr:col>
      <xdr:colOff>104775</xdr:colOff>
      <xdr:row>21</xdr:row>
      <xdr:rowOff>171450</xdr:rowOff>
    </xdr:from>
    <xdr:ext cx="3932379" cy="1297919"/>
    <xdr:sp macro="" textlink="">
      <xdr:nvSpPr>
        <xdr:cNvPr id="2" name="TextBox 1">
          <a:extLst>
            <a:ext uri="{FF2B5EF4-FFF2-40B4-BE49-F238E27FC236}">
              <a16:creationId xmlns:a16="http://schemas.microsoft.com/office/drawing/2014/main" id="{225A410C-D263-4158-A24E-5C03E0FA23D3}"/>
            </a:ext>
          </a:extLst>
        </xdr:cNvPr>
        <xdr:cNvSpPr txBox="1"/>
      </xdr:nvSpPr>
      <xdr:spPr>
        <a:xfrm>
          <a:off x="13462727" y="3476510"/>
          <a:ext cx="3932379" cy="129791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b="0" i="0">
              <a:solidFill>
                <a:schemeClr val="tx1"/>
              </a:solidFill>
              <a:effectLst/>
              <a:latin typeface="+mn-lt"/>
              <a:ea typeface="+mn-ea"/>
              <a:cs typeface="+mn-cs"/>
            </a:rPr>
            <a:t>When a new credit request is received, the risk is assessed. If the risk is above a threshold, an advanced risk assessment needs to be carried out, otherwise a simple risk assessment will suffice. Once the assessment has been completed, the customer is</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notified with the result of the assessment, and in the meantime the disbursement isorganized.</a:t>
          </a:r>
          <a:endParaRPr lang="en-US" sz="1100">
            <a:solidFill>
              <a:schemeClr val="tx1"/>
            </a:solidFill>
            <a:effectLst/>
            <a:latin typeface="+mn-lt"/>
            <a:ea typeface="+mn-ea"/>
            <a:cs typeface="+mn-cs"/>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12</xdr:col>
      <xdr:colOff>104775</xdr:colOff>
      <xdr:row>33</xdr:row>
      <xdr:rowOff>171450</xdr:rowOff>
    </xdr:from>
    <xdr:ext cx="3932379" cy="2675732"/>
    <xdr:sp macro="" textlink="">
      <xdr:nvSpPr>
        <xdr:cNvPr id="2" name="TextBox 1">
          <a:extLst>
            <a:ext uri="{FF2B5EF4-FFF2-40B4-BE49-F238E27FC236}">
              <a16:creationId xmlns:a16="http://schemas.microsoft.com/office/drawing/2014/main" id="{5FE42826-CFBA-4E7F-9CD4-E2A843979699}"/>
            </a:ext>
          </a:extLst>
        </xdr:cNvPr>
        <xdr:cNvSpPr txBox="1"/>
      </xdr:nvSpPr>
      <xdr:spPr>
        <a:xfrm>
          <a:off x="12506325" y="2657475"/>
          <a:ext cx="3932379" cy="267573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First, the order is read from the automatic order management system. Then, it's checked if the first product from the order is in stock. If it's in stock then it's withdrawn from the warehouse. However, if it's not in stock then it's reordered from the wholesaler. Note, that if it was necessary to wait more then 10 days for the arrival of the  product then a delivery delay penalty is automatically demanded from the wholesaler. After the ordered product has arrived it's registered in the stock management system. Finally, it's checked if the whole order is ready for shipment. If the order is ready for shipment, a courier is requested and the products are packed simultaneously and finally shipped. If it isn't then the next product from the order is selected and the process starts again with checking if this order is in stock or not.</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12</xdr:col>
      <xdr:colOff>104775</xdr:colOff>
      <xdr:row>24</xdr:row>
      <xdr:rowOff>171450</xdr:rowOff>
    </xdr:from>
    <xdr:ext cx="3932379" cy="3020186"/>
    <xdr:sp macro="" textlink="">
      <xdr:nvSpPr>
        <xdr:cNvPr id="2" name="TextBox 1">
          <a:extLst>
            <a:ext uri="{FF2B5EF4-FFF2-40B4-BE49-F238E27FC236}">
              <a16:creationId xmlns:a16="http://schemas.microsoft.com/office/drawing/2014/main" id="{AD5082F0-0FB5-4EB6-8E8F-88F714F45E27}"/>
            </a:ext>
          </a:extLst>
        </xdr:cNvPr>
        <xdr:cNvSpPr txBox="1"/>
      </xdr:nvSpPr>
      <xdr:spPr>
        <a:xfrm>
          <a:off x="12944475" y="5133975"/>
          <a:ext cx="3932379" cy="302018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If a tenant is evicted because of damages to the premises, a process needs to be started by the tribunal in order to hold a hearing to assess the amount of compensation the tenant owes to the owner of the premises. </a:t>
          </a:r>
        </a:p>
        <a:p>
          <a:r>
            <a:rPr lang="de-AT" sz="1100" b="0">
              <a:solidFill>
                <a:schemeClr val="tx1"/>
              </a:solidFill>
              <a:effectLst/>
              <a:latin typeface="+mn-lt"/>
              <a:ea typeface="+mn-ea"/>
              <a:cs typeface="+mn-cs"/>
            </a:rPr>
            <a:t>This process starts when a cashier of the tribunal receives a request for compensation from the owner.</a:t>
          </a:r>
        </a:p>
        <a:p>
          <a:r>
            <a:rPr lang="de-AT" sz="1100" b="0">
              <a:solidFill>
                <a:schemeClr val="tx1"/>
              </a:solidFill>
              <a:effectLst/>
              <a:latin typeface="+mn-lt"/>
              <a:ea typeface="+mn-ea"/>
              <a:cs typeface="+mn-cs"/>
            </a:rPr>
            <a:t>The cashier then retrieves the file for those particular premises and checks that the request is both acceptable for filing and compliant with the description of the premises on file. After these checks, the cashier needs to set a hearing date. </a:t>
          </a:r>
        </a:p>
        <a:p>
          <a:r>
            <a:rPr lang="de-AT" sz="1100" b="0">
              <a:solidFill>
                <a:schemeClr val="tx1"/>
              </a:solidFill>
              <a:effectLst/>
              <a:latin typeface="+mn-lt"/>
              <a:ea typeface="+mn-ea"/>
              <a:cs typeface="+mn-cs"/>
            </a:rPr>
            <a:t>Setting a hearing date incurs fees to the owner. It may be that the owner has already paid the fees with the request, in which case the cashier allocates a hearing date and the process completes. If the owner has not paid the required fees, the cashier produces a fees notice and waits for the owner to pay the fees before reassessing the document compliance.</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12</xdr:col>
      <xdr:colOff>104775</xdr:colOff>
      <xdr:row>25</xdr:row>
      <xdr:rowOff>171450</xdr:rowOff>
    </xdr:from>
    <xdr:ext cx="3932379" cy="3235501"/>
    <xdr:sp macro="" textlink="">
      <xdr:nvSpPr>
        <xdr:cNvPr id="2" name="TextBox 1">
          <a:extLst>
            <a:ext uri="{FF2B5EF4-FFF2-40B4-BE49-F238E27FC236}">
              <a16:creationId xmlns:a16="http://schemas.microsoft.com/office/drawing/2014/main" id="{028F81B4-C391-4520-AA4C-CBA38BB679CE}"/>
            </a:ext>
          </a:extLst>
        </xdr:cNvPr>
        <xdr:cNvSpPr txBox="1"/>
      </xdr:nvSpPr>
      <xdr:spPr>
        <a:xfrm>
          <a:off x="13462727" y="6414342"/>
          <a:ext cx="3932379" cy="323550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b="0" i="0">
              <a:solidFill>
                <a:schemeClr val="tx1"/>
              </a:solidFill>
              <a:effectLst/>
              <a:latin typeface="+mn-lt"/>
              <a:ea typeface="+mn-ea"/>
              <a:cs typeface="+mn-cs"/>
            </a:rPr>
            <a:t>If you want to register for a course at the sports institute, you need to select a course. If</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slots are free, the system tells you the courses, and dates. Select one. Next, you need to</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check if you already have an account at the sports institute. If not, you need to check</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whether you are registered at an eligible university. If you are, register your account. If</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you are not, request an activation and wait for a response. As soon as you have an</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account, log into it. The application is also connected to your twitter account, and lets</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you tweet to friends who might want to join you, you can complete the registration for</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the course and provide the payment information. In the end, you will receive a course</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ticket</a:t>
          </a:r>
          <a:endParaRPr lang="en-US" sz="1100">
            <a:solidFill>
              <a:schemeClr val="tx1"/>
            </a:solidFill>
            <a:effectLst/>
            <a:latin typeface="+mn-lt"/>
            <a:ea typeface="+mn-ea"/>
            <a:cs typeface="+mn-cs"/>
          </a:endParaRP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12</xdr:col>
      <xdr:colOff>104775</xdr:colOff>
      <xdr:row>39</xdr:row>
      <xdr:rowOff>171450</xdr:rowOff>
    </xdr:from>
    <xdr:ext cx="3932379" cy="2331279"/>
    <xdr:sp macro="" textlink="">
      <xdr:nvSpPr>
        <xdr:cNvPr id="2" name="TextBox 1">
          <a:extLst>
            <a:ext uri="{FF2B5EF4-FFF2-40B4-BE49-F238E27FC236}">
              <a16:creationId xmlns:a16="http://schemas.microsoft.com/office/drawing/2014/main" id="{11E871B9-870D-4E02-90E3-014E04D50D46}"/>
            </a:ext>
          </a:extLst>
        </xdr:cNvPr>
        <xdr:cNvSpPr txBox="1"/>
      </xdr:nvSpPr>
      <xdr:spPr>
        <a:xfrm>
          <a:off x="12944475" y="3600450"/>
          <a:ext cx="3932379" cy="233127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The police has a new app to remind you of your car service. The process is started after a successful service. When a service is necessary, the system checks if your car is still registered. If it is registered, you are notified. If you do not go to the service, you are fined after 30 days. At the car service facility the mechanic enters the problems of your car for reference. While you wait (can take several days), you get status updates via email).You can pay through the app, when the repair is done. The mechanic enters that the repair was successful and you got your "Pickerl". The mechanic enters the time for you next service.</a:t>
          </a:r>
          <a:r>
            <a:rPr lang="de-AT" sz="1100">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de-AT" sz="1100">
              <a:solidFill>
                <a:schemeClr val="tx1"/>
              </a:solidFill>
              <a:effectLst/>
              <a:latin typeface="+mn-lt"/>
              <a:ea typeface="+mn-ea"/>
              <a:cs typeface="+mn-cs"/>
            </a:rPr>
            <a:t> </a:t>
          </a:r>
          <a:r>
            <a:rPr lang="en-US" sz="1100">
              <a:solidFill>
                <a:schemeClr val="tx1"/>
              </a:solidFill>
              <a:effectLst/>
              <a:latin typeface="+mn-lt"/>
              <a:ea typeface="+mn-ea"/>
              <a:cs typeface="+mn-cs"/>
            </a:rPr>
            <a:t>I am missing Data Objects/Messages: Reminder, Problems, Status Updates, Pickerl — or a App DB and Status Updates per Mail</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12</xdr:col>
      <xdr:colOff>104775</xdr:colOff>
      <xdr:row>41</xdr:row>
      <xdr:rowOff>171450</xdr:rowOff>
    </xdr:from>
    <xdr:ext cx="3932379" cy="5775812"/>
    <xdr:sp macro="" textlink="">
      <xdr:nvSpPr>
        <xdr:cNvPr id="2" name="TextBox 1">
          <a:extLst>
            <a:ext uri="{FF2B5EF4-FFF2-40B4-BE49-F238E27FC236}">
              <a16:creationId xmlns:a16="http://schemas.microsoft.com/office/drawing/2014/main" id="{D3F3EDC7-85B9-4067-93A3-12AB29745545}"/>
            </a:ext>
          </a:extLst>
        </xdr:cNvPr>
        <xdr:cNvSpPr txBox="1"/>
      </xdr:nvSpPr>
      <xdr:spPr>
        <a:xfrm>
          <a:off x="12944475" y="6076950"/>
          <a:ext cx="3932379" cy="577581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After an accident has occurred, the beneficiary calls an insurance agent who in turn contacts the insurance company. It can take up to three days until the notification of claim is entered and a qualified clerk is assigned the case. </a:t>
          </a:r>
        </a:p>
        <a:p>
          <a:r>
            <a:rPr lang="en-US" sz="1100">
              <a:solidFill>
                <a:schemeClr val="tx1"/>
              </a:solidFill>
              <a:effectLst/>
              <a:latin typeface="+mn-lt"/>
              <a:ea typeface="+mn-ea"/>
              <a:cs typeface="+mn-cs"/>
            </a:rPr>
            <a:t>The clerk checks whether the beneficiary’s policy was valid at the time of the accident. If not, the process terminates here. The next steps basically try to answer two questions: Whose insurance is ob-liged to pay and how much is it going to cost? </a:t>
          </a:r>
        </a:p>
        <a:p>
          <a:r>
            <a:rPr lang="en-US" sz="1100">
              <a:solidFill>
                <a:schemeClr val="tx1"/>
              </a:solidFill>
              <a:effectLst/>
              <a:latin typeface="+mn-lt"/>
              <a:ea typeface="+mn-ea"/>
              <a:cs typeface="+mn-cs"/>
            </a:rPr>
            <a:t>For estimating the cost, the regulator talks to the doctors and injured parties about the injuries caused by the accident and how they need to be treated. Then, she comes up with a quote for the car repairs. This requires a lot of phone calls. For answering the question about who is to blame for the accident, the regulator calls the beneficiary, other injured persons, witnesses and the police. Furthermore, she is likely to drop by the people involved and the place of accident. </a:t>
          </a:r>
        </a:p>
        <a:p>
          <a:r>
            <a:rPr lang="en-US" sz="1100">
              <a:solidFill>
                <a:schemeClr val="tx1"/>
              </a:solidFill>
              <a:effectLst/>
              <a:latin typeface="+mn-lt"/>
              <a:ea typeface="+mn-ea"/>
              <a:cs typeface="+mn-cs"/>
            </a:rPr>
            <a:t>Estimating the costs for repairs and doctors is influenced by many variables: Which repair is really needed? Is it required to order original spare parts from the manufacturer or can parts produced by other companies also be used? Which medical treatment is sufficient? </a:t>
          </a:r>
        </a:p>
        <a:p>
          <a:r>
            <a:rPr lang="en-US" sz="1100">
              <a:solidFill>
                <a:schemeClr val="tx1"/>
              </a:solidFill>
              <a:effectLst/>
              <a:latin typeface="+mn-lt"/>
              <a:ea typeface="+mn-ea"/>
              <a:cs typeface="+mn-cs"/>
            </a:rPr>
            <a:t>None of these questions is easy to answer. Typically, it takes 35 days until the clerk has gathered enough information before she can decide whether or not to pay compensation and if so how much. </a:t>
          </a:r>
        </a:p>
        <a:p>
          <a:r>
            <a:rPr lang="en-US" sz="1100">
              <a:solidFill>
                <a:schemeClr val="tx1"/>
              </a:solidFill>
              <a:effectLst/>
              <a:latin typeface="+mn-lt"/>
              <a:ea typeface="+mn-ea"/>
              <a:cs typeface="+mn-cs"/>
            </a:rPr>
            <a:t>If all parties are satisfied with the compensation, the file can be closed. In average this happens after 40 days in total. However, if legal measures are initiated, the process might take considerably longer. A lawsuit easily consumes 5 years. </a:t>
          </a:r>
        </a:p>
        <a:p>
          <a:r>
            <a:rPr lang="en-US" sz="1100">
              <a:solidFill>
                <a:schemeClr val="tx1"/>
              </a:solidFill>
              <a:effectLst/>
              <a:latin typeface="+mn-lt"/>
              <a:ea typeface="+mn-ea"/>
              <a:cs typeface="+mn-cs"/>
            </a:rPr>
            <a:t>Considering all claims, the insurance pays 3,500€ as compensation for physical damage and personal in-jury. Internal costs sum up to 500€ as an average.</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12</xdr:col>
      <xdr:colOff>104775</xdr:colOff>
      <xdr:row>26</xdr:row>
      <xdr:rowOff>171450</xdr:rowOff>
    </xdr:from>
    <xdr:ext cx="3932379" cy="3073277"/>
    <xdr:sp macro="" textlink="">
      <xdr:nvSpPr>
        <xdr:cNvPr id="2" name="TextBox 1">
          <a:extLst>
            <a:ext uri="{FF2B5EF4-FFF2-40B4-BE49-F238E27FC236}">
              <a16:creationId xmlns:a16="http://schemas.microsoft.com/office/drawing/2014/main" id="{B4B6A639-8E45-4B46-A843-A501C3D123E6}"/>
            </a:ext>
          </a:extLst>
        </xdr:cNvPr>
        <xdr:cNvSpPr txBox="1"/>
      </xdr:nvSpPr>
      <xdr:spPr>
        <a:xfrm>
          <a:off x="13462727" y="7699643"/>
          <a:ext cx="3932379" cy="307327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b="0" i="0">
              <a:solidFill>
                <a:schemeClr val="tx1"/>
              </a:solidFill>
              <a:effectLst/>
              <a:latin typeface="+mn-lt"/>
              <a:ea typeface="+mn-ea"/>
              <a:cs typeface="+mn-cs"/>
            </a:rPr>
            <a:t>The motor claim handling process starts when a customer submits a claim with the</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relevant documentation. The notification department at the car insurer checks the</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documents upon completeness and registers the claim.</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Next, the Handling department picks up the claim and checks the insurance.</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Then, an assessment is performed. If the assessment is positive, a garage is phoned to</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authorize the repairs and the payment is scheduled (in this order). Otherwise, the claim</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is rejected. The claim is also immediately rejected if any of the previous checks fail.</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In any case (whether the outcome is positive or negative), a letter is sent to the customer</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and the process is considered to be complete</a:t>
          </a:r>
          <a:endParaRPr lang="en-US" sz="1100">
            <a:solidFill>
              <a:schemeClr val="tx1"/>
            </a:solidFill>
            <a:effectLst/>
            <a:latin typeface="+mn-lt"/>
            <a:ea typeface="+mn-ea"/>
            <a:cs typeface="+mn-cs"/>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8</xdr:col>
      <xdr:colOff>479425</xdr:colOff>
      <xdr:row>14</xdr:row>
      <xdr:rowOff>107950</xdr:rowOff>
    </xdr:from>
    <xdr:ext cx="3932379" cy="2159053"/>
    <xdr:sp macro="" textlink="">
      <xdr:nvSpPr>
        <xdr:cNvPr id="2" name="TextBox 1">
          <a:extLst>
            <a:ext uri="{FF2B5EF4-FFF2-40B4-BE49-F238E27FC236}">
              <a16:creationId xmlns:a16="http://schemas.microsoft.com/office/drawing/2014/main" id="{B2B349AA-EE8B-406D-A1ED-01D2A727DC8C}"/>
            </a:ext>
          </a:extLst>
        </xdr:cNvPr>
        <xdr:cNvSpPr txBox="1"/>
      </xdr:nvSpPr>
      <xdr:spPr>
        <a:xfrm>
          <a:off x="11388725" y="2870200"/>
          <a:ext cx="3932379" cy="215905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en-US" sz="1100">
              <a:solidFill>
                <a:schemeClr val="tx1"/>
              </a:solidFill>
              <a:effectLst/>
              <a:latin typeface="+mn-lt"/>
              <a:ea typeface="+mn-ea"/>
              <a:cs typeface="+mn-cs"/>
            </a:rPr>
            <a:t>Your fridge produces strange noises. You describe the symptoms, and send them together with the type of fridge to the central fridge service center.  They select a local service facility (which all have their own way of interacting with customers).</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The service facility makes an appointment. They arrive at a random time, and sometimes have to leave without repairing your fridge, because they need additional parts.</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After your fridge is repaired, you have to confirm that it is OK again. You can rate the service facility.</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8</xdr:col>
      <xdr:colOff>479425</xdr:colOff>
      <xdr:row>15</xdr:row>
      <xdr:rowOff>107950</xdr:rowOff>
    </xdr:from>
    <xdr:ext cx="3932379" cy="2159053"/>
    <xdr:sp macro="" textlink="">
      <xdr:nvSpPr>
        <xdr:cNvPr id="2" name="TextBox 1">
          <a:extLst>
            <a:ext uri="{FF2B5EF4-FFF2-40B4-BE49-F238E27FC236}">
              <a16:creationId xmlns:a16="http://schemas.microsoft.com/office/drawing/2014/main" id="{5506104C-4C01-4D45-8059-BBC80CE391C1}"/>
            </a:ext>
          </a:extLst>
        </xdr:cNvPr>
        <xdr:cNvSpPr txBox="1"/>
      </xdr:nvSpPr>
      <xdr:spPr>
        <a:xfrm>
          <a:off x="11388725" y="2686050"/>
          <a:ext cx="3932379" cy="215905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en-US" sz="1100" b="0" i="0" u="none" strike="noStrike" baseline="0">
              <a:solidFill>
                <a:schemeClr val="tx1"/>
              </a:solidFill>
              <a:latin typeface="+mn-lt"/>
              <a:ea typeface="+mn-ea"/>
              <a:cs typeface="+mn-cs"/>
            </a:rPr>
            <a:t> If goods shall be shipped, the secretary clarifies who will do the shipping. If you have large amounts, special shipping will be necessary. In these cases the secretary invites three logistic companies to make offers and she selects one of them. In case of small amounts, normal post shipment is used. Therefore a package label is written by the secretary and a parcel insurance taken by the logistics department head if necessary. </a:t>
          </a:r>
        </a:p>
        <a:p>
          <a:r>
            <a:rPr lang="en-US" sz="1100" b="0" i="0" u="none" strike="noStrike" baseline="0">
              <a:solidFill>
                <a:schemeClr val="tx1"/>
              </a:solidFill>
              <a:latin typeface="+mn-lt"/>
              <a:ea typeface="+mn-ea"/>
              <a:cs typeface="+mn-cs"/>
            </a:rPr>
            <a:t>In the meantime the goods can be already packaged by the warehousemen. </a:t>
          </a:r>
        </a:p>
        <a:p>
          <a:r>
            <a:rPr lang="en-US" sz="1100" b="0" i="0" u="none" strike="noStrike" baseline="0">
              <a:solidFill>
                <a:schemeClr val="tx1"/>
              </a:solidFill>
              <a:latin typeface="+mn-lt"/>
              <a:ea typeface="+mn-ea"/>
              <a:cs typeface="+mn-cs"/>
            </a:rPr>
            <a:t>If everything is ready, the packaged goods are prepared for being picked up by the logistic company. </a:t>
          </a:r>
          <a:endParaRPr lang="en-US" sz="1100">
            <a:solidFill>
              <a:schemeClr val="tx1"/>
            </a:solidFill>
            <a:effectLst/>
            <a:latin typeface="+mn-lt"/>
            <a:ea typeface="+mn-ea"/>
            <a:cs typeface="+mn-cs"/>
          </a:endParaRP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9</xdr:col>
      <xdr:colOff>38439</xdr:colOff>
      <xdr:row>22</xdr:row>
      <xdr:rowOff>68228</xdr:rowOff>
    </xdr:from>
    <xdr:ext cx="3932379" cy="3709092"/>
    <xdr:sp macro="" textlink="">
      <xdr:nvSpPr>
        <xdr:cNvPr id="2" name="TextBox 1">
          <a:extLst>
            <a:ext uri="{FF2B5EF4-FFF2-40B4-BE49-F238E27FC236}">
              <a16:creationId xmlns:a16="http://schemas.microsoft.com/office/drawing/2014/main" id="{FF08258A-92E6-4875-8E28-A5E7CEF05C2F}"/>
            </a:ext>
          </a:extLst>
        </xdr:cNvPr>
        <xdr:cNvSpPr txBox="1"/>
      </xdr:nvSpPr>
      <xdr:spPr>
        <a:xfrm>
          <a:off x="11563013" y="4215994"/>
          <a:ext cx="3932379" cy="370909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en-US" sz="1100" b="0" i="0" u="none" strike="noStrike" baseline="0">
              <a:solidFill>
                <a:schemeClr val="tx1"/>
              </a:solidFill>
              <a:latin typeface="+mn-lt"/>
              <a:ea typeface="+mn-ea"/>
              <a:cs typeface="+mn-cs"/>
            </a:rPr>
            <a:t>To apply for the PhD program, students first fill in an online application form with their personal data. Online applications are recorded in an admission information system to which all staff members involved in the process have access. After a student has submitted the online form, a PDF document is generated and the student is requested to download it, sign it, and send it by post together with a transcript of grades and a letter of motivation. When these documents are received by the admissions office, the officer makes an initial assessment and rejects the application if the student has insufficient grades (such notifications of rejection are sent by email). In case of sufficient grades, the admissions office forwards the student documents by internal mail to the academic committee, which is responsible for deciding whether to offer admission or not. The committee meets once every month to examine all applications that are ready for academic assessment at the time of the meeting. At the end of the committee meeting, the chair of the committee notifies the admissions office of the selection outcomes. A few days later, the admissions office checks the selection outcomes and sends a rejection or admission email to each candidate.</a:t>
          </a:r>
          <a:endParaRPr lang="en-US" sz="1100">
            <a:solidFill>
              <a:schemeClr val="tx1"/>
            </a:solidFill>
            <a:effectLst/>
            <a:latin typeface="+mn-lt"/>
            <a:ea typeface="+mn-ea"/>
            <a:cs typeface="+mn-cs"/>
          </a:endParaRP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9</xdr:col>
      <xdr:colOff>38439</xdr:colOff>
      <xdr:row>19</xdr:row>
      <xdr:rowOff>68228</xdr:rowOff>
    </xdr:from>
    <xdr:ext cx="3932379" cy="23515155"/>
    <xdr:sp macro="" textlink="">
      <xdr:nvSpPr>
        <xdr:cNvPr id="2" name="TextBox 1">
          <a:extLst>
            <a:ext uri="{FF2B5EF4-FFF2-40B4-BE49-F238E27FC236}">
              <a16:creationId xmlns:a16="http://schemas.microsoft.com/office/drawing/2014/main" id="{7CBC1D4B-6124-44A3-B89B-FCC720CC8860}"/>
            </a:ext>
          </a:extLst>
        </xdr:cNvPr>
        <xdr:cNvSpPr txBox="1"/>
      </xdr:nvSpPr>
      <xdr:spPr>
        <a:xfrm>
          <a:off x="11557339" y="4119528"/>
          <a:ext cx="3932379" cy="2351515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Create a process that helps in gathering information about work accidents (and almost work accidents):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For insured gainful employment, a work accident is considered to be an accident that occurs in the following circumstances, by way of example: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the accident occurs in a location, at a time and with a cause that correlates to the insured employment</a:t>
          </a:r>
        </a:p>
        <a:p>
          <a:r>
            <a:rPr lang="de-AT" sz="1100" b="0">
              <a:solidFill>
                <a:schemeClr val="tx1"/>
              </a:solidFill>
              <a:effectLst/>
              <a:latin typeface="+mn-lt"/>
              <a:ea typeface="+mn-ea"/>
              <a:cs typeface="+mn-cs"/>
            </a:rPr>
            <a:t>* when working from home</a:t>
          </a:r>
        </a:p>
        <a:p>
          <a:r>
            <a:rPr lang="de-AT" sz="1100" b="0">
              <a:solidFill>
                <a:schemeClr val="tx1"/>
              </a:solidFill>
              <a:effectLst/>
              <a:latin typeface="+mn-lt"/>
              <a:ea typeface="+mn-ea"/>
              <a:cs typeface="+mn-cs"/>
            </a:rPr>
            <a:t>* on the direct route from the permanent place of residence to work, to lunch or on the way home, whereby carpools are also protected</a:t>
          </a:r>
        </a:p>
        <a:p>
          <a:r>
            <a:rPr lang="de-AT" sz="1100" b="0">
              <a:solidFill>
                <a:schemeClr val="tx1"/>
              </a:solidFill>
              <a:effectLst/>
              <a:latin typeface="+mn-lt"/>
              <a:ea typeface="+mn-ea"/>
              <a:cs typeface="+mn-cs"/>
            </a:rPr>
            <a:t>* for training sessions that serve to provide specific professional knowledge, whereby an accident on to way to or from the training centre is considered a work accident</a:t>
          </a:r>
        </a:p>
        <a:p>
          <a:r>
            <a:rPr lang="de-AT" sz="1100" b="0">
              <a:solidFill>
                <a:schemeClr val="tx1"/>
              </a:solidFill>
              <a:effectLst/>
              <a:latin typeface="+mn-lt"/>
              <a:ea typeface="+mn-ea"/>
              <a:cs typeface="+mn-cs"/>
            </a:rPr>
            <a:t>* on the direct route from home, or from the workplace or training centre to a doctor and back, if this interrupts the direct route from the permanent place of residence to work or the route home (the doctor’s visit must be notified to the employer in advance)</a:t>
          </a:r>
        </a:p>
        <a:p>
          <a:r>
            <a:rPr lang="de-AT" sz="1100" b="0">
              <a:solidFill>
                <a:schemeClr val="tx1"/>
              </a:solidFill>
              <a:effectLst/>
              <a:latin typeface="+mn-lt"/>
              <a:ea typeface="+mn-ea"/>
              <a:cs typeface="+mn-cs"/>
            </a:rPr>
            <a:t>* on the way to or from the workplace or training centre with the purpose of taking a child to or collecting them from a childcare facility, a daycare facility, external care or a school, insofar as they have a supervisory responsibility for the child</a:t>
          </a:r>
        </a:p>
        <a:p>
          <a:r>
            <a:rPr lang="de-AT" sz="1100" b="0">
              <a:solidFill>
                <a:schemeClr val="tx1"/>
              </a:solidFill>
              <a:effectLst/>
              <a:latin typeface="+mn-lt"/>
              <a:ea typeface="+mn-ea"/>
              <a:cs typeface="+mn-cs"/>
            </a:rPr>
            <a:t>* when making use of advocacy groups or professional associations (e.g. Chamber of Labour, trade union federation, guild etc.)</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For kindergarten children, schoolchildren and students, an accident is considered to be a work accident if, amongst other things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the accident occurs in a location, at a time and with a cause that correlates to the school or university education or the compulsory kindergarten year that forms the basis of the insurance</a:t>
          </a:r>
        </a:p>
        <a:p>
          <a:r>
            <a:rPr lang="de-AT" sz="1100" b="0">
              <a:solidFill>
                <a:schemeClr val="tx1"/>
              </a:solidFill>
              <a:effectLst/>
              <a:latin typeface="+mn-lt"/>
              <a:ea typeface="+mn-ea"/>
              <a:cs typeface="+mn-cs"/>
            </a:rPr>
            <a:t>* when taking part in a school event or school-related event</a:t>
          </a:r>
        </a:p>
        <a:p>
          <a:r>
            <a:rPr lang="de-AT" sz="1100" b="0">
              <a:solidFill>
                <a:schemeClr val="tx1"/>
              </a:solidFill>
              <a:effectLst/>
              <a:latin typeface="+mn-lt"/>
              <a:ea typeface="+mn-ea"/>
              <a:cs typeface="+mn-cs"/>
            </a:rPr>
            <a:t>* on the direct route from the child’s place of residence or permanent accommodation to kindergarten or a school visit or on the way home</a:t>
          </a:r>
        </a:p>
        <a:p>
          <a:r>
            <a:rPr lang="de-AT" sz="1100" b="0">
              <a:solidFill>
                <a:schemeClr val="tx1"/>
              </a:solidFill>
              <a:effectLst/>
              <a:latin typeface="+mn-lt"/>
              <a:ea typeface="+mn-ea"/>
              <a:cs typeface="+mn-cs"/>
            </a:rPr>
            <a:t>* when performing a practical task prescribed as part of the curriculum and/or the study regulations or</a:t>
          </a:r>
        </a:p>
        <a:p>
          <a:r>
            <a:rPr lang="de-AT" sz="1100" b="0">
              <a:solidFill>
                <a:schemeClr val="tx1"/>
              </a:solidFill>
              <a:effectLst/>
              <a:latin typeface="+mn-lt"/>
              <a:ea typeface="+mn-ea"/>
              <a:cs typeface="+mn-cs"/>
            </a:rPr>
            <a:t>* in certain professional (training) orientations.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In an agricultural or forestry establishment, accidents can be considered work accidents if they do not occur directly while performing the insured employment. Depending on the protected group of people, the following tasks are covered by accident insurance: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working in the household of the owner of the company and/or the employee, if the household serves the company to a considerable extent</a:t>
          </a:r>
        </a:p>
        <a:p>
          <a:r>
            <a:rPr lang="de-AT" sz="1100" b="0">
              <a:solidFill>
                <a:schemeClr val="tx1"/>
              </a:solidFill>
              <a:effectLst/>
              <a:latin typeface="+mn-lt"/>
              <a:ea typeface="+mn-ea"/>
              <a:cs typeface="+mn-cs"/>
            </a:rPr>
            <a:t>* working in connection with providing accommodation for guests</a:t>
          </a:r>
        </a:p>
        <a:p>
          <a:r>
            <a:rPr lang="de-AT" sz="1100" b="0">
              <a:solidFill>
                <a:schemeClr val="tx1"/>
              </a:solidFill>
              <a:effectLst/>
              <a:latin typeface="+mn-lt"/>
              <a:ea typeface="+mn-ea"/>
              <a:cs typeface="+mn-cs"/>
            </a:rPr>
            <a:t>* secondary occupations for the sale of agricultural products from the farm</a:t>
          </a:r>
        </a:p>
        <a:p>
          <a:r>
            <a:rPr lang="de-AT" sz="1100" b="0">
              <a:solidFill>
                <a:schemeClr val="tx1"/>
              </a:solidFill>
              <a:effectLst/>
              <a:latin typeface="+mn-lt"/>
              <a:ea typeface="+mn-ea"/>
              <a:cs typeface="+mn-cs"/>
            </a:rPr>
            <a:t>* working in the context of erecting, converting and repairing buildings that serve the agricultural and forestry establishment</a:t>
          </a:r>
        </a:p>
        <a:p>
          <a:r>
            <a:rPr lang="de-AT" sz="1100" b="0">
              <a:solidFill>
                <a:schemeClr val="tx1"/>
              </a:solidFill>
              <a:effectLst/>
              <a:latin typeface="+mn-lt"/>
              <a:ea typeface="+mn-ea"/>
              <a:cs typeface="+mn-cs"/>
            </a:rPr>
            <a:t>* working in the context of neighbourhood assistance for another agricultural and forestry establishment</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Certain accidents are considered the same as work accidents and in many cases can also affect people who do not have accident insurance. Accidents that occur in one of the following situations, among others, are considered to be work accidents outside of professional activity:</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for activities with which services from the Arbeitslosenversicherungsgestez/Arbeitsmarktförderungsgesetz are being made use of (e.g. on the way to an arranged job interview)</a:t>
          </a:r>
        </a:p>
        <a:p>
          <a:r>
            <a:rPr lang="de-AT" sz="1100" b="0">
              <a:solidFill>
                <a:schemeClr val="tx1"/>
              </a:solidFill>
              <a:effectLst/>
              <a:latin typeface="+mn-lt"/>
              <a:ea typeface="+mn-ea"/>
              <a:cs typeface="+mn-cs"/>
            </a:rPr>
            <a:t>* when assisting with an accident or donating blood</a:t>
          </a:r>
        </a:p>
        <a:p>
          <a:r>
            <a:rPr lang="de-AT" sz="1100" b="0">
              <a:solidFill>
                <a:schemeClr val="tx1"/>
              </a:solidFill>
              <a:effectLst/>
              <a:latin typeface="+mn-lt"/>
              <a:ea typeface="+mn-ea"/>
              <a:cs typeface="+mn-cs"/>
            </a:rPr>
            <a:t>* when receiving training, taking part in exercises or serving as a member of one of the following aid organisations:</a:t>
          </a:r>
        </a:p>
        <a:p>
          <a:r>
            <a:rPr lang="de-AT" sz="1100" b="0">
              <a:solidFill>
                <a:schemeClr val="tx1"/>
              </a:solidFill>
              <a:effectLst/>
              <a:latin typeface="+mn-lt"/>
              <a:ea typeface="+mn-ea"/>
              <a:cs typeface="+mn-cs"/>
            </a:rPr>
            <a:t>  * Volunteer fire brigade</a:t>
          </a:r>
        </a:p>
        <a:p>
          <a:r>
            <a:rPr lang="de-AT" sz="1100" b="0">
              <a:solidFill>
                <a:schemeClr val="tx1"/>
              </a:solidFill>
              <a:effectLst/>
              <a:latin typeface="+mn-lt"/>
              <a:ea typeface="+mn-ea"/>
              <a:cs typeface="+mn-cs"/>
            </a:rPr>
            <a:t>  * Volunteer water rescue service</a:t>
          </a:r>
        </a:p>
        <a:p>
          <a:r>
            <a:rPr lang="de-AT" sz="1100" b="0">
              <a:solidFill>
                <a:schemeClr val="tx1"/>
              </a:solidFill>
              <a:effectLst/>
              <a:latin typeface="+mn-lt"/>
              <a:ea typeface="+mn-ea"/>
              <a:cs typeface="+mn-cs"/>
            </a:rPr>
            <a:t>  * Volunteer rescue organisations</a:t>
          </a:r>
        </a:p>
        <a:p>
          <a:r>
            <a:rPr lang="de-AT" sz="1100" b="0">
              <a:solidFill>
                <a:schemeClr val="tx1"/>
              </a:solidFill>
              <a:effectLst/>
              <a:latin typeface="+mn-lt"/>
              <a:ea typeface="+mn-ea"/>
              <a:cs typeface="+mn-cs"/>
            </a:rPr>
            <a:t>  * Austrian Red Cross</a:t>
          </a:r>
        </a:p>
        <a:p>
          <a:r>
            <a:rPr lang="de-AT" sz="1100" b="0">
              <a:solidFill>
                <a:schemeClr val="tx1"/>
              </a:solidFill>
              <a:effectLst/>
              <a:latin typeface="+mn-lt"/>
              <a:ea typeface="+mn-ea"/>
              <a:cs typeface="+mn-cs"/>
            </a:rPr>
            <a:t>  * Austrian Alpine Rescue Service</a:t>
          </a:r>
        </a:p>
        <a:p>
          <a:r>
            <a:rPr lang="de-AT" sz="1100" b="0">
              <a:solidFill>
                <a:schemeClr val="tx1"/>
              </a:solidFill>
              <a:effectLst/>
              <a:latin typeface="+mn-lt"/>
              <a:ea typeface="+mn-ea"/>
              <a:cs typeface="+mn-cs"/>
            </a:rPr>
            <a:t>  * Austrian Water Rescue</a:t>
          </a:r>
        </a:p>
        <a:p>
          <a:r>
            <a:rPr lang="de-AT" sz="1100" b="0">
              <a:solidFill>
                <a:schemeClr val="tx1"/>
              </a:solidFill>
              <a:effectLst/>
              <a:latin typeface="+mn-lt"/>
              <a:ea typeface="+mn-ea"/>
              <a:cs typeface="+mn-cs"/>
            </a:rPr>
            <a:t>  * Austrian Rescue Dog Brigade</a:t>
          </a:r>
        </a:p>
        <a:p>
          <a:r>
            <a:rPr lang="de-AT" sz="1100" b="0">
              <a:solidFill>
                <a:schemeClr val="tx1"/>
              </a:solidFill>
              <a:effectLst/>
              <a:latin typeface="+mn-lt"/>
              <a:ea typeface="+mn-ea"/>
              <a:cs typeface="+mn-cs"/>
            </a:rPr>
            <a:t>  * Avalanche warning committees</a:t>
          </a:r>
        </a:p>
        <a:p>
          <a:r>
            <a:rPr lang="de-AT" sz="1100" b="0">
              <a:solidFill>
                <a:schemeClr val="tx1"/>
              </a:solidFill>
              <a:effectLst/>
              <a:latin typeface="+mn-lt"/>
              <a:ea typeface="+mn-ea"/>
              <a:cs typeface="+mn-cs"/>
            </a:rPr>
            <a:t>  * Air rescue service</a:t>
          </a:r>
        </a:p>
        <a:p>
          <a:r>
            <a:rPr lang="de-AT" sz="1100" b="0">
              <a:solidFill>
                <a:schemeClr val="tx1"/>
              </a:solidFill>
              <a:effectLst/>
              <a:latin typeface="+mn-lt"/>
              <a:ea typeface="+mn-ea"/>
              <a:cs typeface="+mn-cs"/>
            </a:rPr>
            <a:t>  * Radiation detection and survey crews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The employees must inform the employer immediately of:</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any work accident</a:t>
          </a:r>
        </a:p>
        <a:p>
          <a:r>
            <a:rPr lang="de-AT" sz="1100" b="0">
              <a:solidFill>
                <a:schemeClr val="tx1"/>
              </a:solidFill>
              <a:effectLst/>
              <a:latin typeface="+mn-lt"/>
              <a:ea typeface="+mn-ea"/>
              <a:cs typeface="+mn-cs"/>
            </a:rPr>
            <a:t>* any incident that would almost have led to an accident</a:t>
          </a:r>
        </a:p>
        <a:p>
          <a:r>
            <a:rPr lang="de-AT" sz="1100" b="0">
              <a:solidFill>
                <a:schemeClr val="tx1"/>
              </a:solidFill>
              <a:effectLst/>
              <a:latin typeface="+mn-lt"/>
              <a:ea typeface="+mn-ea"/>
              <a:cs typeface="+mn-cs"/>
            </a:rPr>
            <a:t>* any serious and immediate risk to safety and health that they discover</a:t>
          </a:r>
        </a:p>
        <a:p>
          <a:r>
            <a:rPr lang="de-AT" sz="1100" b="0">
              <a:solidFill>
                <a:schemeClr val="tx1"/>
              </a:solidFill>
              <a:effectLst/>
              <a:latin typeface="+mn-lt"/>
              <a:ea typeface="+mn-ea"/>
              <a:cs typeface="+mn-cs"/>
            </a:rPr>
            <a:t>* any defect discovered in protection systems.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The employer must, in turn, immediately report any work accident that leads to</a:t>
          </a:r>
        </a:p>
        <a:p>
          <a:r>
            <a:rPr lang="de-AT" sz="1100" b="0">
              <a:solidFill>
                <a:schemeClr val="tx1"/>
              </a:solidFill>
              <a:effectLst/>
              <a:latin typeface="+mn-lt"/>
              <a:ea typeface="+mn-ea"/>
              <a:cs typeface="+mn-cs"/>
            </a:rPr>
            <a:t>a fatality or serious injury to the Labour Inspectorate, if it has not been</a:t>
          </a:r>
        </a:p>
        <a:p>
          <a:r>
            <a:rPr lang="de-AT" sz="1100" b="0">
              <a:solidFill>
                <a:schemeClr val="tx1"/>
              </a:solidFill>
              <a:effectLst/>
              <a:latin typeface="+mn-lt"/>
              <a:ea typeface="+mn-ea"/>
              <a:cs typeface="+mn-cs"/>
            </a:rPr>
            <a:t>reported to the emergency services.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Independent of this, every work accident in which a person with accident</a:t>
          </a:r>
        </a:p>
        <a:p>
          <a:r>
            <a:rPr lang="de-AT" sz="1100" b="0">
              <a:solidFill>
                <a:schemeClr val="tx1"/>
              </a:solidFill>
              <a:effectLst/>
              <a:latin typeface="+mn-lt"/>
              <a:ea typeface="+mn-ea"/>
              <a:cs typeface="+mn-cs"/>
            </a:rPr>
            <a:t>insurance has been killed, or injured in such a way that they are unable to</a:t>
          </a:r>
        </a:p>
        <a:p>
          <a:r>
            <a:rPr lang="de-AT" sz="1100" b="0">
              <a:solidFill>
                <a:schemeClr val="tx1"/>
              </a:solidFill>
              <a:effectLst/>
              <a:latin typeface="+mn-lt"/>
              <a:ea typeface="+mn-ea"/>
              <a:cs typeface="+mn-cs"/>
            </a:rPr>
            <a:t>work for three days, in full or in part, must be reported to the responsible</a:t>
          </a:r>
        </a:p>
        <a:p>
          <a:r>
            <a:rPr lang="de-AT" sz="1100" b="0">
              <a:solidFill>
                <a:schemeClr val="tx1"/>
              </a:solidFill>
              <a:effectLst/>
              <a:latin typeface="+mn-lt"/>
              <a:ea typeface="+mn-ea"/>
              <a:cs typeface="+mn-cs"/>
            </a:rPr>
            <a:t>accident insurance provider within five days.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As a self-employed person, please ensure that you not only report accidents</a:t>
          </a:r>
        </a:p>
        <a:p>
          <a:r>
            <a:rPr lang="de-AT" sz="1100" b="0">
              <a:solidFill>
                <a:schemeClr val="tx1"/>
              </a:solidFill>
              <a:effectLst/>
              <a:latin typeface="+mn-lt"/>
              <a:ea typeface="+mn-ea"/>
              <a:cs typeface="+mn-cs"/>
            </a:rPr>
            <a:t>involving people you employ but also those that involve you to the accident</a:t>
          </a:r>
        </a:p>
        <a:p>
          <a:r>
            <a:rPr lang="de-AT" sz="1100" b="0">
              <a:solidFill>
                <a:schemeClr val="tx1"/>
              </a:solidFill>
              <a:effectLst/>
              <a:latin typeface="+mn-lt"/>
              <a:ea typeface="+mn-ea"/>
              <a:cs typeface="+mn-cs"/>
            </a:rPr>
            <a:t>insurance provider in good time.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Students and schoolchildren should report accidents to the competent</a:t>
          </a:r>
        </a:p>
        <a:p>
          <a:r>
            <a:rPr lang="de-AT" sz="1100" b="0">
              <a:solidFill>
                <a:schemeClr val="tx1"/>
              </a:solidFill>
              <a:effectLst/>
              <a:latin typeface="+mn-lt"/>
              <a:ea typeface="+mn-ea"/>
              <a:cs typeface="+mn-cs"/>
            </a:rPr>
            <a:t>directorate. Schools, educational facilities and universities are obliged to</a:t>
          </a:r>
        </a:p>
        <a:p>
          <a:r>
            <a:rPr lang="de-AT" sz="1100" b="0">
              <a:solidFill>
                <a:schemeClr val="tx1"/>
              </a:solidFill>
              <a:effectLst/>
              <a:latin typeface="+mn-lt"/>
              <a:ea typeface="+mn-ea"/>
              <a:cs typeface="+mn-cs"/>
            </a:rPr>
            <a:t>report every work accident through which a person with accident insurance is</a:t>
          </a:r>
        </a:p>
        <a:p>
          <a:r>
            <a:rPr lang="de-AT" sz="1100" b="0">
              <a:solidFill>
                <a:schemeClr val="tx1"/>
              </a:solidFill>
              <a:effectLst/>
              <a:latin typeface="+mn-lt"/>
              <a:ea typeface="+mn-ea"/>
              <a:cs typeface="+mn-cs"/>
            </a:rPr>
            <a:t>physically injured or killed within a maximum of five days to the responsible</a:t>
          </a:r>
        </a:p>
        <a:p>
          <a:r>
            <a:rPr lang="de-AT" sz="1100" b="0">
              <a:solidFill>
                <a:schemeClr val="tx1"/>
              </a:solidFill>
              <a:effectLst/>
              <a:latin typeface="+mn-lt"/>
              <a:ea typeface="+mn-ea"/>
              <a:cs typeface="+mn-cs"/>
            </a:rPr>
            <a:t>accident insurance provider in triplicate.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In the case of private insurance, the insured party must report an accident in</a:t>
          </a:r>
        </a:p>
        <a:p>
          <a:r>
            <a:rPr lang="de-AT" sz="1100" b="0">
              <a:solidFill>
                <a:schemeClr val="tx1"/>
              </a:solidFill>
              <a:effectLst/>
              <a:latin typeface="+mn-lt"/>
              <a:ea typeface="+mn-ea"/>
              <a:cs typeface="+mn-cs"/>
            </a:rPr>
            <a:t>writing immediately in line with the conditions and to avoid the provider from</a:t>
          </a:r>
        </a:p>
        <a:p>
          <a:r>
            <a:rPr lang="de-AT" sz="1100" b="0">
              <a:solidFill>
                <a:schemeClr val="tx1"/>
              </a:solidFill>
              <a:effectLst/>
              <a:latin typeface="+mn-lt"/>
              <a:ea typeface="+mn-ea"/>
              <a:cs typeface="+mn-cs"/>
            </a:rPr>
            <a:t>being released from the obligation to perform. If there are fatalities, this</a:t>
          </a:r>
        </a:p>
        <a:p>
          <a:r>
            <a:rPr lang="de-AT" sz="1100" b="0">
              <a:solidFill>
                <a:schemeClr val="tx1"/>
              </a:solidFill>
              <a:effectLst/>
              <a:latin typeface="+mn-lt"/>
              <a:ea typeface="+mn-ea"/>
              <a:cs typeface="+mn-cs"/>
            </a:rPr>
            <a:t>must be reported within three days, even if the accident has already been</a:t>
          </a:r>
        </a:p>
        <a:p>
          <a:r>
            <a:rPr lang="de-AT" sz="1100" b="0">
              <a:solidFill>
                <a:schemeClr val="tx1"/>
              </a:solidFill>
              <a:effectLst/>
              <a:latin typeface="+mn-lt"/>
              <a:ea typeface="+mn-ea"/>
              <a:cs typeface="+mn-cs"/>
            </a:rPr>
            <a:t>reported.</a:t>
          </a:r>
        </a:p>
        <a:p>
          <a:endParaRPr lang="de-AT" sz="1100" b="0">
            <a:solidFill>
              <a:schemeClr val="tx1"/>
            </a:solidFill>
            <a:effectLst/>
            <a:latin typeface="+mn-lt"/>
            <a:ea typeface="+mn-ea"/>
            <a:cs typeface="+mn-cs"/>
          </a:endParaRP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9</xdr:col>
      <xdr:colOff>38439</xdr:colOff>
      <xdr:row>18</xdr:row>
      <xdr:rowOff>68228</xdr:rowOff>
    </xdr:from>
    <xdr:ext cx="3932379" cy="16798317"/>
    <xdr:sp macro="" textlink="">
      <xdr:nvSpPr>
        <xdr:cNvPr id="2" name="TextBox 1">
          <a:extLst>
            <a:ext uri="{FF2B5EF4-FFF2-40B4-BE49-F238E27FC236}">
              <a16:creationId xmlns:a16="http://schemas.microsoft.com/office/drawing/2014/main" id="{5725ED53-927E-4AAD-918F-59AEE692308B}"/>
            </a:ext>
          </a:extLst>
        </xdr:cNvPr>
        <xdr:cNvSpPr txBox="1"/>
      </xdr:nvSpPr>
      <xdr:spPr>
        <a:xfrm>
          <a:off x="11557339" y="4119528"/>
          <a:ext cx="3932379" cy="1679831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Please check the requirements for working and living in austria. Create a</a:t>
          </a:r>
        </a:p>
        <a:p>
          <a:r>
            <a:rPr lang="de-AT" sz="1100" b="0">
              <a:solidFill>
                <a:schemeClr val="tx1"/>
              </a:solidFill>
              <a:effectLst/>
              <a:latin typeface="+mn-lt"/>
              <a:ea typeface="+mn-ea"/>
              <a:cs typeface="+mn-cs"/>
            </a:rPr>
            <a:t>process that assists you for a combination of the steps.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Include: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Organizing accomodation and bank account (negotiation)</a:t>
          </a:r>
        </a:p>
        <a:p>
          <a:r>
            <a:rPr lang="de-AT" sz="1100" b="0">
              <a:solidFill>
                <a:schemeClr val="tx1"/>
              </a:solidFill>
              <a:effectLst/>
              <a:latin typeface="+mn-lt"/>
              <a:ea typeface="+mn-ea"/>
              <a:cs typeface="+mn-cs"/>
            </a:rPr>
            <a:t>* Visa (every x amount of months) - Rot-Weiss-Rot Card</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Requirements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General principles and requirements for the issue of Visas: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visa application form</a:t>
          </a:r>
        </a:p>
        <a:p>
          <a:r>
            <a:rPr lang="de-AT" sz="1100" b="0">
              <a:solidFill>
                <a:schemeClr val="tx1"/>
              </a:solidFill>
              <a:effectLst/>
              <a:latin typeface="+mn-lt"/>
              <a:ea typeface="+mn-ea"/>
              <a:cs typeface="+mn-cs"/>
            </a:rPr>
            <a:t>* a travel document valid in Austria, with a validity period exceeding the duration of the visa by at least three months and with at least two empty pages, that was issued within the last ten years</a:t>
          </a:r>
        </a:p>
        <a:p>
          <a:r>
            <a:rPr lang="de-AT" sz="1100" b="0">
              <a:solidFill>
                <a:schemeClr val="tx1"/>
              </a:solidFill>
              <a:effectLst/>
              <a:latin typeface="+mn-lt"/>
              <a:ea typeface="+mn-ea"/>
              <a:cs typeface="+mn-cs"/>
            </a:rPr>
            <a:t>* a passport photo (portrait format, 35 x 45 mm) in accordance with the specified passport photo criteria</a:t>
          </a:r>
        </a:p>
        <a:p>
          <a:r>
            <a:rPr lang="de-AT" sz="1100" b="0">
              <a:solidFill>
                <a:schemeClr val="tx1"/>
              </a:solidFill>
              <a:effectLst/>
              <a:latin typeface="+mn-lt"/>
              <a:ea typeface="+mn-ea"/>
              <a:cs typeface="+mn-cs"/>
            </a:rPr>
            <a:t>* presentation of an fully comprehensive travel health insurance policy for the planned duration of the stay (amount of cover: 30.000 Euro, valid for the entire Schengen area)</a:t>
          </a:r>
        </a:p>
        <a:p>
          <a:r>
            <a:rPr lang="de-AT" sz="1100" b="0">
              <a:solidFill>
                <a:schemeClr val="tx1"/>
              </a:solidFill>
              <a:effectLst/>
              <a:latin typeface="+mn-lt"/>
              <a:ea typeface="+mn-ea"/>
              <a:cs typeface="+mn-cs"/>
            </a:rPr>
            <a:t>* proof of sufficient means of subsistence for the duration of the intended stay and for the return journey to the country of origin or residence</a:t>
          </a:r>
        </a:p>
        <a:p>
          <a:r>
            <a:rPr lang="de-AT" sz="1100" b="0">
              <a:solidFill>
                <a:schemeClr val="tx1"/>
              </a:solidFill>
              <a:effectLst/>
              <a:latin typeface="+mn-lt"/>
              <a:ea typeface="+mn-ea"/>
              <a:cs typeface="+mn-cs"/>
            </a:rPr>
            <a:t>* other evidence requested by the relevant authorities (hotel reservations, invitations, booking confirmations, return flight ticket, proof of gainful employment etc.) – as these are adapted to local standards and coordinated with other Schengen representations, the evidence to be provided may vary depending on location</a:t>
          </a:r>
        </a:p>
        <a:p>
          <a:r>
            <a:rPr lang="de-AT" sz="1100" b="0">
              <a:solidFill>
                <a:schemeClr val="tx1"/>
              </a:solidFill>
              <a:effectLst/>
              <a:latin typeface="+mn-lt"/>
              <a:ea typeface="+mn-ea"/>
              <a:cs typeface="+mn-cs"/>
            </a:rPr>
            <a:t>* absence of other grounds for refusal (residence prohibition, alert issued by a Schengen country)</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Depending on the circumstances, additional documents may be requested. Please</a:t>
          </a:r>
        </a:p>
        <a:p>
          <a:r>
            <a:rPr lang="de-AT" sz="1100" b="0">
              <a:solidFill>
                <a:schemeClr val="tx1"/>
              </a:solidFill>
              <a:effectLst/>
              <a:latin typeface="+mn-lt"/>
              <a:ea typeface="+mn-ea"/>
              <a:cs typeface="+mn-cs"/>
            </a:rPr>
            <a:t>contact the representation in advance for more information.</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Generally speaking, all visa types are issued by representation offices (→</a:t>
          </a:r>
        </a:p>
        <a:p>
          <a:r>
            <a:rPr lang="de-AT" sz="1100" b="0">
              <a:solidFill>
                <a:schemeClr val="tx1"/>
              </a:solidFill>
              <a:effectLst/>
              <a:latin typeface="+mn-lt"/>
              <a:ea typeface="+mn-ea"/>
              <a:cs typeface="+mn-cs"/>
            </a:rPr>
            <a:t>BMEIA) abroad or, in specific exceptional cases, by certain border control</a:t>
          </a:r>
        </a:p>
        <a:p>
          <a:r>
            <a:rPr lang="de-AT" sz="1100" b="0">
              <a:solidFill>
                <a:schemeClr val="tx1"/>
              </a:solidFill>
              <a:effectLst/>
              <a:latin typeface="+mn-lt"/>
              <a:ea typeface="+mn-ea"/>
              <a:cs typeface="+mn-cs"/>
            </a:rPr>
            <a:t>posts or, where extension of the visa is permitted, by the state police</a:t>
          </a:r>
        </a:p>
        <a:p>
          <a:r>
            <a:rPr lang="de-AT" sz="1100" b="0">
              <a:solidFill>
                <a:schemeClr val="tx1"/>
              </a:solidFill>
              <a:effectLst/>
              <a:latin typeface="+mn-lt"/>
              <a:ea typeface="+mn-ea"/>
              <a:cs typeface="+mn-cs"/>
            </a:rPr>
            <a:t>headquarters.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Schengen visas must be issued by the representation office of the</a:t>
          </a:r>
        </a:p>
        <a:p>
          <a:r>
            <a:rPr lang="de-AT" sz="1100" b="0">
              <a:solidFill>
                <a:schemeClr val="tx1"/>
              </a:solidFill>
              <a:effectLst/>
              <a:latin typeface="+mn-lt"/>
              <a:ea typeface="+mn-ea"/>
              <a:cs typeface="+mn-cs"/>
            </a:rPr>
            <a:t>country in which the main travel destination of the visa applicant is located.</a:t>
          </a:r>
        </a:p>
        <a:p>
          <a:r>
            <a:rPr lang="de-AT" sz="1100" b="0">
              <a:solidFill>
                <a:schemeClr val="tx1"/>
              </a:solidFill>
              <a:effectLst/>
              <a:latin typeface="+mn-lt"/>
              <a:ea typeface="+mn-ea"/>
              <a:cs typeface="+mn-cs"/>
            </a:rPr>
            <a:t>If the applicant intends to spend an equal amount of time in several countries</a:t>
          </a:r>
        </a:p>
        <a:p>
          <a:r>
            <a:rPr lang="de-AT" sz="1100" b="0">
              <a:solidFill>
                <a:schemeClr val="tx1"/>
              </a:solidFill>
              <a:effectLst/>
              <a:latin typeface="+mn-lt"/>
              <a:ea typeface="+mn-ea"/>
              <a:cs typeface="+mn-cs"/>
            </a:rPr>
            <a:t>(for example, when touring), the competent representation office is that of the</a:t>
          </a:r>
        </a:p>
        <a:p>
          <a:r>
            <a:rPr lang="de-AT" sz="1100" b="0">
              <a:solidFill>
                <a:schemeClr val="tx1"/>
              </a:solidFill>
              <a:effectLst/>
              <a:latin typeface="+mn-lt"/>
              <a:ea typeface="+mn-ea"/>
              <a:cs typeface="+mn-cs"/>
            </a:rPr>
            <a:t>country in whose territory the main travel destination is located, on the basis</a:t>
          </a:r>
        </a:p>
        <a:p>
          <a:r>
            <a:rPr lang="de-AT" sz="1100" b="0">
              <a:solidFill>
                <a:schemeClr val="tx1"/>
              </a:solidFill>
              <a:effectLst/>
              <a:latin typeface="+mn-lt"/>
              <a:ea typeface="+mn-ea"/>
              <a:cs typeface="+mn-cs"/>
            </a:rPr>
            <a:t>of the length and purpose of the stay. If it is not possible to determine a</a:t>
          </a:r>
        </a:p>
        <a:p>
          <a:r>
            <a:rPr lang="de-AT" sz="1100" b="0">
              <a:solidFill>
                <a:schemeClr val="tx1"/>
              </a:solidFill>
              <a:effectLst/>
              <a:latin typeface="+mn-lt"/>
              <a:ea typeface="+mn-ea"/>
              <a:cs typeface="+mn-cs"/>
            </a:rPr>
            <a:t>main travel destination, the member country of first entry into the Schengen</a:t>
          </a:r>
        </a:p>
        <a:p>
          <a:r>
            <a:rPr lang="de-AT" sz="1100" b="0">
              <a:solidFill>
                <a:schemeClr val="tx1"/>
              </a:solidFill>
              <a:effectLst/>
              <a:latin typeface="+mn-lt"/>
              <a:ea typeface="+mn-ea"/>
              <a:cs typeface="+mn-cs"/>
            </a:rPr>
            <a:t>area is responsible for issuing the visa.</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Territorial competence for applications for category A and C visas falls to the</a:t>
          </a:r>
        </a:p>
        <a:p>
          <a:r>
            <a:rPr lang="de-AT" sz="1100" b="0">
              <a:solidFill>
                <a:schemeClr val="tx1"/>
              </a:solidFill>
              <a:effectLst/>
              <a:latin typeface="+mn-lt"/>
              <a:ea typeface="+mn-ea"/>
              <a:cs typeface="+mn-cs"/>
            </a:rPr>
            <a:t>representation office in the consular district where the legal place of</a:t>
          </a:r>
        </a:p>
        <a:p>
          <a:r>
            <a:rPr lang="de-AT" sz="1100" b="0">
              <a:solidFill>
                <a:schemeClr val="tx1"/>
              </a:solidFill>
              <a:effectLst/>
              <a:latin typeface="+mn-lt"/>
              <a:ea typeface="+mn-ea"/>
              <a:cs typeface="+mn-cs"/>
            </a:rPr>
            <a:t>residence of the applicant is located. A representation office may claim</a:t>
          </a:r>
        </a:p>
        <a:p>
          <a:r>
            <a:rPr lang="de-AT" sz="1100" b="0">
              <a:solidFill>
                <a:schemeClr val="tx1"/>
              </a:solidFill>
              <a:effectLst/>
              <a:latin typeface="+mn-lt"/>
              <a:ea typeface="+mn-ea"/>
              <a:cs typeface="+mn-cs"/>
            </a:rPr>
            <a:t>exceptional competence for applications from third‑country nationals legally</a:t>
          </a:r>
        </a:p>
        <a:p>
          <a:r>
            <a:rPr lang="de-AT" sz="1100" b="0">
              <a:solidFill>
                <a:schemeClr val="tx1"/>
              </a:solidFill>
              <a:effectLst/>
              <a:latin typeface="+mn-lt"/>
              <a:ea typeface="+mn-ea"/>
              <a:cs typeface="+mn-cs"/>
            </a:rPr>
            <a:t>residing but not registered in their district if the applicant can provide</a:t>
          </a:r>
        </a:p>
        <a:p>
          <a:r>
            <a:rPr lang="de-AT" sz="1100" b="0">
              <a:solidFill>
                <a:schemeClr val="tx1"/>
              </a:solidFill>
              <a:effectLst/>
              <a:latin typeface="+mn-lt"/>
              <a:ea typeface="+mn-ea"/>
              <a:cs typeface="+mn-cs"/>
            </a:rPr>
            <a:t>justification as to why they had to submit their application to that particular</a:t>
          </a:r>
        </a:p>
        <a:p>
          <a:r>
            <a:rPr lang="de-AT" sz="1100" b="0">
              <a:solidFill>
                <a:schemeClr val="tx1"/>
              </a:solidFill>
              <a:effectLst/>
              <a:latin typeface="+mn-lt"/>
              <a:ea typeface="+mn-ea"/>
              <a:cs typeface="+mn-cs"/>
            </a:rPr>
            <a:t>consulate.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Type D visas, however, must be applied for at the competent Austrian</a:t>
          </a:r>
        </a:p>
        <a:p>
          <a:r>
            <a:rPr lang="de-AT" sz="1100" b="0">
              <a:solidFill>
                <a:schemeClr val="tx1"/>
              </a:solidFill>
              <a:effectLst/>
              <a:latin typeface="+mn-lt"/>
              <a:ea typeface="+mn-ea"/>
              <a:cs typeface="+mn-cs"/>
            </a:rPr>
            <a:t>representation. The provisions of Section 8 of the FPG apply to type D visas.</a:t>
          </a:r>
        </a:p>
        <a:p>
          <a:r>
            <a:rPr lang="de-AT" sz="1100" b="0">
              <a:solidFill>
                <a:schemeClr val="tx1"/>
              </a:solidFill>
              <a:effectLst/>
              <a:latin typeface="+mn-lt"/>
              <a:ea typeface="+mn-ea"/>
              <a:cs typeface="+mn-cs"/>
            </a:rPr>
            <a:t>In accordance with these provisions, the territorial competence for carrying</a:t>
          </a:r>
        </a:p>
        <a:p>
          <a:r>
            <a:rPr lang="de-AT" sz="1100" b="0">
              <a:solidFill>
                <a:schemeClr val="tx1"/>
              </a:solidFill>
              <a:effectLst/>
              <a:latin typeface="+mn-lt"/>
              <a:ea typeface="+mn-ea"/>
              <a:cs typeface="+mn-cs"/>
            </a:rPr>
            <a:t>out official actions in relation to visas is determined on the basis of the</a:t>
          </a:r>
        </a:p>
        <a:p>
          <a:r>
            <a:rPr lang="de-AT" sz="1100" b="0">
              <a:solidFill>
                <a:schemeClr val="tx1"/>
              </a:solidFill>
              <a:effectLst/>
              <a:latin typeface="+mn-lt"/>
              <a:ea typeface="+mn-ea"/>
              <a:cs typeface="+mn-cs"/>
            </a:rPr>
            <a:t>foreign national's the place of residence (i.e. their centre of interest,</a:t>
          </a:r>
        </a:p>
        <a:p>
          <a:r>
            <a:rPr lang="de-AT" sz="1100" b="0">
              <a:solidFill>
                <a:schemeClr val="tx1"/>
              </a:solidFill>
              <a:effectLst/>
              <a:latin typeface="+mn-lt"/>
              <a:ea typeface="+mn-ea"/>
              <a:cs typeface="+mn-cs"/>
            </a:rPr>
            <a:t>verifiable by means of e.g. registration forms, residence permit, visa).</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A list of all representation offices (addresses, telephone numbers, opening</a:t>
          </a:r>
        </a:p>
        <a:p>
          <a:r>
            <a:rPr lang="de-AT" sz="1100" b="0">
              <a:solidFill>
                <a:schemeClr val="tx1"/>
              </a:solidFill>
              <a:effectLst/>
              <a:latin typeface="+mn-lt"/>
              <a:ea typeface="+mn-ea"/>
              <a:cs typeface="+mn-cs"/>
            </a:rPr>
            <a:t>hours, special requirements for issuing visas etc.) can be found on the website</a:t>
          </a:r>
        </a:p>
        <a:p>
          <a:r>
            <a:rPr lang="de-AT" sz="1100" b="0">
              <a:solidFill>
                <a:schemeClr val="tx1"/>
              </a:solidFill>
              <a:effectLst/>
              <a:latin typeface="+mn-lt"/>
              <a:ea typeface="+mn-ea"/>
              <a:cs typeface="+mn-cs"/>
            </a:rPr>
            <a:t>of the Federal Ministry of European and International Affairs.</a:t>
          </a:r>
        </a:p>
        <a:p>
          <a:endParaRPr lang="de-AT" sz="1100" b="0">
            <a:solidFill>
              <a:schemeClr val="tx1"/>
            </a:solidFill>
            <a:effectLst/>
            <a:latin typeface="+mn-lt"/>
            <a:ea typeface="+mn-ea"/>
            <a:cs typeface="+mn-cs"/>
          </a:endParaRP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9</xdr:col>
      <xdr:colOff>38439</xdr:colOff>
      <xdr:row>50</xdr:row>
      <xdr:rowOff>68228</xdr:rowOff>
    </xdr:from>
    <xdr:ext cx="3932379" cy="13009331"/>
    <xdr:sp macro="" textlink="">
      <xdr:nvSpPr>
        <xdr:cNvPr id="2" name="TextBox 1">
          <a:extLst>
            <a:ext uri="{FF2B5EF4-FFF2-40B4-BE49-F238E27FC236}">
              <a16:creationId xmlns:a16="http://schemas.microsoft.com/office/drawing/2014/main" id="{8C3E7432-6BF6-4A5E-8B65-5766D77AF06A}"/>
            </a:ext>
          </a:extLst>
        </xdr:cNvPr>
        <xdr:cNvSpPr txBox="1"/>
      </xdr:nvSpPr>
      <xdr:spPr>
        <a:xfrm>
          <a:off x="11517285" y="11563356"/>
          <a:ext cx="3932379" cy="1300933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At the beginning the customer perceives that her subscribed service has degraded. A listwith all the problem parameters is then sent to the Customer Service department of TELECO.At the customer service an employee enters (based on the received data) a problem report intosystem T.. Then the problem report is compared to the customer SLA to identify what the extentand the details of the service degradation are. Based on this, the necessary counter measures aredetermined including their respective priorities. An electronic service then determines thesignificance of the customer based on information that has been collected during the history ofthe contractual relationship. In case the customer is premium, the process will link to an extraproblem fix process (this process will not be detailed here). In case the customer is of certainsignificance which would affect the counter measures previously decided upon, the process goesback to re-prioritize these measures – otherwise the process continues. Taking together theinformation (i.e. contract commitment data + prioritized actions) a detailed problem report iscreated. The detailed problem report is then sent to Service Management. Service Managementdeals on a first level with violations of quality in services that are provided to customers.After receiving the detailed problem report, Service management investigates whether theproblem is analyzable at the level of their department or whether the problem may be located atResource Provisioning. In case Service Management assesses the problem to be not analyzable bythemselves, the detailed problem report is sent out to Resource Provisioning. If ServiceManagement is sure they can analyze it, they perform the analysis and based on the outcome theycreate a trouble report that indicates the type of problem.After Resource Provisioning receives the detailed problem report, it is checked whether there areany possible problems. If no problems are detected, a notification about the normal serviceexecution is created. If a problem is detected this will be analyzed by Resource Provisioning and atrouble report is created. Either trouble report or the ‘normal execution’ notification will beincluded in a status report and sent back to Service Management.Service Management then prepares the final status report based on the received information.Subsequently it has to be determined what counter measures should be taken depending on theinformation in the final status report. Three alternative process paths may be taken.For the case that no problem was detected at all, the actual service performance is sent back to the Customer Service. For the case that minor corrective actions are required, Service Management will undertake corrective actions by themselves. Subsequently, the problem resolution report is created and then sent out to Customer Service. After sending, this process path of Service Management ends. For the case that automatic resource restoration from Resource Provisioning is required, Service Management must create a request for automatic resource restoration. This message is then sent to Resource Provisioning. Resource Provisioning has been on-hold and waiting for a restoration request – but this must happen within 2 days after the status report was sent out, otherwise Resource Provisioning terminates the process. After the restoration request is received, all possible errors are tracked. Based on the tracked errors, allnecessary corrective actions are undertaken by Resource Provisioning. Then a trouble-shootingreport is created. This report is sent out to Service Management; then the process ends.The trouble-shooting report is received by Service Management and this information goes theninto the creation of the problem resolution report just as described for ii). Customer Serviceeither receives the actual service performance (if there was no problem) or the problemresolution report. Then, two concurrent activities are triggered, i.e. i) a report is created for thecustomer which details the current service performance and the resolution of the problem, and ii)an SLA violation rebate is reported to Billing &amp; Collections who will adjust the billing. The reportfor the customer is sent out to her. After all three activities are completed the process ends withinCustomer Service. After the customer then receives the report about service performance andproblem resolution from Customer Service, the process flow at the customer also ends.</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9</xdr:col>
      <xdr:colOff>38439</xdr:colOff>
      <xdr:row>22</xdr:row>
      <xdr:rowOff>68228</xdr:rowOff>
    </xdr:from>
    <xdr:ext cx="3932379" cy="11459291"/>
    <xdr:sp macro="" textlink="">
      <xdr:nvSpPr>
        <xdr:cNvPr id="2" name="TextBox 1">
          <a:extLst>
            <a:ext uri="{FF2B5EF4-FFF2-40B4-BE49-F238E27FC236}">
              <a16:creationId xmlns:a16="http://schemas.microsoft.com/office/drawing/2014/main" id="{292F313D-8807-45F6-A543-6D6E8706D3E8}"/>
            </a:ext>
          </a:extLst>
        </xdr:cNvPr>
        <xdr:cNvSpPr txBox="1"/>
      </xdr:nvSpPr>
      <xdr:spPr>
        <a:xfrm>
          <a:off x="11557339" y="4119528"/>
          <a:ext cx="3932379" cy="1145929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The process is initiated by a switch-over request. In doing so, the customer transmitshis data to the customer service department of the company. Customer service is a shared servicecenter between the departments Sales and Distribution. The customer data is received bycustomer service and based on this data a customer data object is entered into the CRM system.After customer data has been entered itshould then be compared with the internal customer data base and checked for completeness andplausibility. In case of any errors these should be corrected on the basis of a simple error list. Thecomparison of data is done to prevent individual customer data being stored multiple times. Incase the customer does not exist in the customer data base, a new customer object is beingcreated which will remain the data object of interest during the rest of the process flow.This object consists of data elements such as the customer’s name and address and the assignedpower gauge. The generated customer object is then used, in combination with other customerdata to prepare the contract documents for the power supplier switch (including data such asbank connection, information on the selected rate, requested date of switch-over). In thefollowing an automated check of the contract documents is carried out within the CIS (customerinformation system) in order to confirm their successful generation. In case of a negativeresponse, i.e. the contract documents are not (or incorrectly) generated, the causing issues arebeing analyzed and resolved. Subsequently the contract documents are generated once again.In case of a positive response a confirmation document is sent out to the customer stating thatthe switch-over to the new supplier can be executed. A request to the grid operator is automatically sent out by the CIS. It puts the question whether the customer may be supplied by the selected supplier in the future. The switch-over request is checked by the grid operator forsupplier concurrence, and the grid operator transmits a response comment. In the case ofsupplier concurrence the grid operator would inform all involved suppliers and demand theresolution of the conflict. The grid operator communicates with the old supplier and carries outthe termination of the sales agreement between the customer and the old supplier (i.e. thecustomer service (of the “new” supplier) does not have to interact with the old supplier regardingtermination).If there are not any objections by the grid operator (i.e. no supplier concurrence), customerservice creates a CIS contract. The customer then has the chance to check the contract details and based on this check may decide to either withdraw from the switch contract or confirm it. Depending on the customer’s acceptance/rejection the process flow atcustomer service either ends (in case of withdrawal) or continues (in case of a confirmation). Anadditional constraint is that the customer can only withdraw from the offered contract within 7days – after the 7th day the contract will be regarded as accepted and the process continues. Theconfirmation message by the customer is therefore not absolutely necessary (as it will count asaccepted after 7 days in any way) but it can speed up the switch process.On the switch-date, but no later than 10 days after power supplyhas begun, the grid operator transmits the power meter data to the customer service and the oldsupplier via messages containing a services consumption report. At the same time, the gridoperator computes the final billing based on the meter data and sends it to the old supplier.Likewise the old supplier creates and sends the final billing to the customer. For the customer aswell as the grid operator the process ends then. After receiving the meter data customer serviceimports the meter data to systems that require the information. The process of “winning” a newcustomer ends here.</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F4082-3480-487B-ADDD-6660AA02B975}">
  <dimension ref="A1:M23"/>
  <sheetViews>
    <sheetView tabSelected="1" zoomScale="62" zoomScaleNormal="62" workbookViewId="0">
      <selection activeCell="R24" sqref="R24"/>
    </sheetView>
  </sheetViews>
  <sheetFormatPr defaultRowHeight="14.5" x14ac:dyDescent="0.35"/>
  <cols>
    <col min="1" max="1" width="23.54296875" customWidth="1"/>
    <col min="2" max="2" width="14.26953125" customWidth="1"/>
    <col min="3" max="3" width="12.1796875" customWidth="1"/>
    <col min="6" max="6" width="19.1796875" customWidth="1"/>
    <col min="7" max="7" width="16.7265625" customWidth="1"/>
    <col min="8" max="8" width="15.1796875" customWidth="1"/>
    <col min="11" max="11" width="16.1796875" customWidth="1"/>
    <col min="12" max="12" width="13.36328125" customWidth="1"/>
    <col min="13" max="13" width="15.36328125" customWidth="1"/>
  </cols>
  <sheetData>
    <row r="1" spans="1:13" x14ac:dyDescent="0.35">
      <c r="A1" s="1" t="s">
        <v>353</v>
      </c>
      <c r="B1" s="1" t="s">
        <v>752</v>
      </c>
      <c r="C1" s="1" t="s">
        <v>753</v>
      </c>
      <c r="F1" s="1" t="s">
        <v>354</v>
      </c>
      <c r="G1" s="1" t="s">
        <v>752</v>
      </c>
      <c r="H1" s="1" t="s">
        <v>753</v>
      </c>
      <c r="K1" s="1" t="s">
        <v>758</v>
      </c>
      <c r="L1" s="1" t="s">
        <v>752</v>
      </c>
      <c r="M1" s="1" t="s">
        <v>753</v>
      </c>
    </row>
    <row r="2" spans="1:13" x14ac:dyDescent="0.35">
      <c r="A2" s="15">
        <v>1</v>
      </c>
      <c r="B2">
        <f>AVERAGE('c1'!C1:E1)</f>
        <v>92.307692307692307</v>
      </c>
      <c r="C2">
        <f>AVERAGE('c1'!F1:H1)</f>
        <v>91.666666666666671</v>
      </c>
      <c r="F2" s="15">
        <v>1</v>
      </c>
      <c r="G2">
        <f>AVERAGE('c1'!C2:E2)</f>
        <v>100</v>
      </c>
      <c r="H2">
        <f>AVERAGE('c1'!F2:H2)</f>
        <v>100</v>
      </c>
      <c r="K2" s="15">
        <v>1</v>
      </c>
      <c r="L2">
        <f xml:space="preserve"> 2 * (B2 * G2) / (B2 + G2)</f>
        <v>95.999999999999986</v>
      </c>
      <c r="M2">
        <f xml:space="preserve"> 2 * (C2 * H2) / (C2 + H2)</f>
        <v>95.652173913043484</v>
      </c>
    </row>
    <row r="3" spans="1:13" x14ac:dyDescent="0.35">
      <c r="A3" s="15">
        <v>2</v>
      </c>
      <c r="B3">
        <f>AVERAGE('c2'!C1:E1)</f>
        <v>94.444444444444457</v>
      </c>
      <c r="C3">
        <f>AVERAGE('c2'!F1:H1)</f>
        <v>85.858585858585869</v>
      </c>
      <c r="F3" s="15">
        <v>2</v>
      </c>
      <c r="G3">
        <f>AVERAGE('c2'!C2:E2)</f>
        <v>100</v>
      </c>
      <c r="H3">
        <f>AVERAGE('c2'!F2:H2)</f>
        <v>100</v>
      </c>
      <c r="K3" s="15">
        <v>2</v>
      </c>
      <c r="L3">
        <f t="shared" ref="L3:L17" si="0" xml:space="preserve"> 2 * (B3 * G3) / (B3 + G3)</f>
        <v>97.142857142857139</v>
      </c>
      <c r="M3">
        <f t="shared" ref="M3:M17" si="1" xml:space="preserve"> 2 * (C3 * H3) / (C3 + H3)</f>
        <v>92.391304347826093</v>
      </c>
    </row>
    <row r="4" spans="1:13" x14ac:dyDescent="0.35">
      <c r="A4" s="15">
        <v>3</v>
      </c>
      <c r="B4">
        <f>AVERAGE('c3'!C1:E1)</f>
        <v>79.545454545454547</v>
      </c>
      <c r="C4">
        <f>AVERAGE('c3'!F1:H1)</f>
        <v>84.545454545454547</v>
      </c>
      <c r="F4" s="15">
        <v>3</v>
      </c>
      <c r="G4">
        <f>AVERAGE('c3'!C2:E2)</f>
        <v>100</v>
      </c>
      <c r="H4">
        <f>AVERAGE('c3'!F2:H2)</f>
        <v>100</v>
      </c>
      <c r="K4" s="15">
        <v>3</v>
      </c>
      <c r="L4">
        <f t="shared" si="0"/>
        <v>88.607594936708864</v>
      </c>
      <c r="M4">
        <f t="shared" si="1"/>
        <v>91.62561576354679</v>
      </c>
    </row>
    <row r="5" spans="1:13" x14ac:dyDescent="0.35">
      <c r="A5" s="15">
        <v>4</v>
      </c>
      <c r="B5">
        <f>AVERAGE('c4'!C1:E1)</f>
        <v>97.222222222222214</v>
      </c>
      <c r="C5">
        <f>AVERAGE('c4'!F1:H1)</f>
        <v>85.990338164251213</v>
      </c>
      <c r="F5" s="15">
        <v>4</v>
      </c>
      <c r="G5">
        <f>AVERAGE('c4'!C2:E2)</f>
        <v>100</v>
      </c>
      <c r="H5">
        <f>AVERAGE('c4'!F2:H2)</f>
        <v>100</v>
      </c>
      <c r="K5" s="15">
        <v>4</v>
      </c>
      <c r="L5">
        <f t="shared" si="0"/>
        <v>98.591549295774627</v>
      </c>
      <c r="M5">
        <f t="shared" si="1"/>
        <v>92.46753246753245</v>
      </c>
    </row>
    <row r="6" spans="1:13" x14ac:dyDescent="0.35">
      <c r="A6" s="15">
        <v>5</v>
      </c>
      <c r="B6">
        <f>AVERAGE('c5'!C1:E1)</f>
        <v>100</v>
      </c>
      <c r="C6">
        <f>AVERAGE('c5'!F1:H1)</f>
        <v>95.238095238095241</v>
      </c>
      <c r="F6" s="15">
        <v>5</v>
      </c>
      <c r="G6">
        <f>AVERAGE('c5'!C2:E2)</f>
        <v>100</v>
      </c>
      <c r="H6">
        <f>AVERAGE('c5'!F2:H2)</f>
        <v>100</v>
      </c>
      <c r="K6" s="15">
        <v>5</v>
      </c>
      <c r="L6">
        <f t="shared" si="0"/>
        <v>100</v>
      </c>
      <c r="M6">
        <f t="shared" si="1"/>
        <v>97.560975609756099</v>
      </c>
    </row>
    <row r="7" spans="1:13" x14ac:dyDescent="0.35">
      <c r="A7" s="15">
        <v>6</v>
      </c>
      <c r="B7">
        <f>AVERAGE('c6'!C1:E1)</f>
        <v>97.435897435897445</v>
      </c>
      <c r="C7">
        <f>AVERAGE('c6'!F1:H1)</f>
        <v>83.915343915343911</v>
      </c>
      <c r="F7" s="15">
        <v>6</v>
      </c>
      <c r="G7">
        <f>AVERAGE('c6'!C2:E2)</f>
        <v>85.714285714285708</v>
      </c>
      <c r="H7">
        <f>AVERAGE('c6'!F2:H2)</f>
        <v>92.857142857142847</v>
      </c>
      <c r="K7" s="15">
        <v>6</v>
      </c>
      <c r="L7">
        <f t="shared" si="0"/>
        <v>91.199999999999989</v>
      </c>
      <c r="M7">
        <f t="shared" si="1"/>
        <v>88.160088938299054</v>
      </c>
    </row>
    <row r="8" spans="1:13" x14ac:dyDescent="0.35">
      <c r="A8" s="15">
        <v>7</v>
      </c>
      <c r="B8">
        <f>AVERAGE('c7'!C1:E1)</f>
        <v>98.76543209876543</v>
      </c>
      <c r="C8">
        <f>AVERAGE('c7'!F1:H1)</f>
        <v>98.550724637681171</v>
      </c>
      <c r="F8" s="15">
        <v>7</v>
      </c>
      <c r="G8">
        <f>AVERAGE('c7'!C2:E2)</f>
        <v>95.238095238095241</v>
      </c>
      <c r="H8">
        <f>AVERAGE('c7'!F2:H2)</f>
        <v>73.80952380952381</v>
      </c>
      <c r="K8" s="15">
        <v>7</v>
      </c>
      <c r="L8">
        <f t="shared" si="0"/>
        <v>96.969696969696969</v>
      </c>
      <c r="M8">
        <f t="shared" si="1"/>
        <v>84.404404404404403</v>
      </c>
    </row>
    <row r="9" spans="1:13" x14ac:dyDescent="0.35">
      <c r="A9" s="15">
        <v>8</v>
      </c>
      <c r="B9">
        <f>AVERAGE('c8'!C1:E1)</f>
        <v>95.034482758620697</v>
      </c>
      <c r="C9">
        <f>AVERAGE('c8'!F1:H1)</f>
        <v>89.170041428105947</v>
      </c>
      <c r="F9" s="15">
        <v>8</v>
      </c>
      <c r="G9">
        <f>AVERAGE('c8'!C2:E2)</f>
        <v>87.777777777777771</v>
      </c>
      <c r="H9">
        <f>AVERAGE('c8'!F2:H2)</f>
        <v>97.777777777777786</v>
      </c>
      <c r="K9" s="15">
        <v>8</v>
      </c>
      <c r="L9">
        <f t="shared" si="0"/>
        <v>91.262103365888422</v>
      </c>
      <c r="M9">
        <f t="shared" si="1"/>
        <v>93.275744346507764</v>
      </c>
    </row>
    <row r="10" spans="1:13" x14ac:dyDescent="0.35">
      <c r="A10" s="15">
        <v>9</v>
      </c>
      <c r="B10">
        <f>AVERAGE('c9'!C1:E1)</f>
        <v>100</v>
      </c>
      <c r="C10">
        <f>AVERAGE('c9'!F1:H1)</f>
        <v>91.911764705882362</v>
      </c>
      <c r="F10" s="15">
        <v>9</v>
      </c>
      <c r="G10">
        <f>AVERAGE('c9'!C2:E2)</f>
        <v>100</v>
      </c>
      <c r="H10">
        <f>AVERAGE('c9'!F2:H2)</f>
        <v>95.833333333333329</v>
      </c>
      <c r="K10" s="15">
        <v>9</v>
      </c>
      <c r="L10">
        <f t="shared" si="0"/>
        <v>100</v>
      </c>
      <c r="M10">
        <f t="shared" si="1"/>
        <v>93.831592689295036</v>
      </c>
    </row>
    <row r="11" spans="1:13" x14ac:dyDescent="0.35">
      <c r="A11" s="15">
        <v>10</v>
      </c>
      <c r="B11">
        <f>AVERAGE('c10'!C1:E1)</f>
        <v>84.366471734892784</v>
      </c>
      <c r="C11">
        <f>AVERAGE('c10'!F1:H1)</f>
        <v>83.856209150326791</v>
      </c>
      <c r="F11" s="15">
        <v>10</v>
      </c>
      <c r="G11">
        <f>AVERAGE('c10'!C2:E2)</f>
        <v>100</v>
      </c>
      <c r="H11">
        <f>AVERAGE('c10'!F2:H2)</f>
        <v>95.833333333333329</v>
      </c>
      <c r="K11" s="15">
        <v>10</v>
      </c>
      <c r="L11">
        <f t="shared" si="0"/>
        <v>91.520406005497989</v>
      </c>
      <c r="M11">
        <f t="shared" si="1"/>
        <v>89.445606377496887</v>
      </c>
    </row>
    <row r="12" spans="1:13" x14ac:dyDescent="0.35">
      <c r="A12" s="15">
        <v>11</v>
      </c>
      <c r="B12">
        <f>AVERAGE('c11'!C1:E1)</f>
        <v>100</v>
      </c>
      <c r="C12">
        <f>AVERAGE('c11'!F1:H1)</f>
        <v>93.174603174603178</v>
      </c>
      <c r="F12" s="15">
        <v>11</v>
      </c>
      <c r="G12">
        <f>AVERAGE('c11'!C2:E2)</f>
        <v>93.75</v>
      </c>
      <c r="H12">
        <f>AVERAGE('c11'!F2:H2)</f>
        <v>81.25</v>
      </c>
      <c r="K12" s="15">
        <v>11</v>
      </c>
      <c r="L12">
        <f t="shared" si="0"/>
        <v>96.774193548387103</v>
      </c>
      <c r="M12">
        <f t="shared" si="1"/>
        <v>86.804686611307005</v>
      </c>
    </row>
    <row r="13" spans="1:13" x14ac:dyDescent="0.35">
      <c r="A13" s="15">
        <v>12</v>
      </c>
      <c r="B13">
        <f>AVERAGE('c12'!C1:E1)</f>
        <v>97.777777777777771</v>
      </c>
      <c r="C13">
        <f>AVERAGE('c12'!F1:H1)</f>
        <v>98.148148148148152</v>
      </c>
      <c r="F13" s="15">
        <v>12</v>
      </c>
      <c r="G13">
        <f>AVERAGE('c12'!C2:E2)</f>
        <v>94.252873563218373</v>
      </c>
      <c r="H13">
        <f>AVERAGE('c12'!F2:H2)</f>
        <v>62.068965517241374</v>
      </c>
      <c r="K13" s="15">
        <v>12</v>
      </c>
      <c r="L13">
        <f t="shared" si="0"/>
        <v>95.982974195264674</v>
      </c>
      <c r="M13">
        <f t="shared" si="1"/>
        <v>76.046233559186931</v>
      </c>
    </row>
    <row r="14" spans="1:13" x14ac:dyDescent="0.35">
      <c r="A14" s="15">
        <v>13</v>
      </c>
      <c r="B14">
        <f>AVERAGE('c13'!C1:E1)</f>
        <v>95.238095238095241</v>
      </c>
      <c r="C14">
        <f>AVERAGE('c13'!F1:H1)</f>
        <v>89.102564102564102</v>
      </c>
      <c r="F14" s="15">
        <v>13</v>
      </c>
      <c r="G14">
        <f>AVERAGE('c13'!C2:E2)</f>
        <v>70.588235294117638</v>
      </c>
      <c r="H14">
        <f>AVERAGE('c13'!F2:H2)</f>
        <v>70.588235294117652</v>
      </c>
      <c r="K14" s="15">
        <v>13</v>
      </c>
      <c r="L14">
        <f t="shared" si="0"/>
        <v>81.081081081081095</v>
      </c>
      <c r="M14">
        <f t="shared" si="1"/>
        <v>78.77213695395514</v>
      </c>
    </row>
    <row r="15" spans="1:13" x14ac:dyDescent="0.35">
      <c r="A15" s="15">
        <v>14</v>
      </c>
      <c r="B15">
        <f>AVERAGE('c14'!C1:E1)</f>
        <v>81.88095238095238</v>
      </c>
      <c r="C15">
        <f>AVERAGE('c14'!F1:H1)</f>
        <v>93.205128205128219</v>
      </c>
      <c r="F15" s="15">
        <v>14</v>
      </c>
      <c r="G15">
        <f>AVERAGE('c14'!C2:E2)</f>
        <v>100</v>
      </c>
      <c r="H15">
        <f>AVERAGE('c14'!F2:H2)</f>
        <v>70.175438596491233</v>
      </c>
      <c r="K15" s="15">
        <v>14</v>
      </c>
      <c r="L15">
        <f t="shared" si="0"/>
        <v>90.037963084173313</v>
      </c>
      <c r="M15">
        <f t="shared" si="1"/>
        <v>80.067181541596113</v>
      </c>
    </row>
    <row r="16" spans="1:13" x14ac:dyDescent="0.35">
      <c r="A16" s="15">
        <v>15</v>
      </c>
      <c r="B16">
        <f>AVERAGE('c15'!C1:E1)</f>
        <v>100</v>
      </c>
      <c r="C16">
        <f>AVERAGE('c15'!F1:H1)</f>
        <v>100</v>
      </c>
      <c r="F16" s="15">
        <v>15</v>
      </c>
      <c r="G16">
        <f>AVERAGE('c15'!C2:E2)</f>
        <v>95.391532601228377</v>
      </c>
      <c r="H16">
        <f>AVERAGE('c15'!F2:H2)</f>
        <v>92.517627597144042</v>
      </c>
      <c r="K16" s="15">
        <v>15</v>
      </c>
      <c r="L16">
        <f t="shared" si="0"/>
        <v>97.641419084327978</v>
      </c>
      <c r="M16">
        <f t="shared" si="1"/>
        <v>96.113409199850864</v>
      </c>
    </row>
    <row r="17" spans="1:13" x14ac:dyDescent="0.35">
      <c r="A17" s="15">
        <v>16</v>
      </c>
      <c r="B17">
        <f>AVERAGE('c16'!C1:E1)</f>
        <v>97.346405228758158</v>
      </c>
      <c r="C17">
        <f>AVERAGE('c16'!F1:H1)</f>
        <v>99.290780141843967</v>
      </c>
      <c r="F17" s="15">
        <v>16</v>
      </c>
      <c r="G17">
        <f>AVERAGE('c16'!C2:E2)</f>
        <v>91.311437223386903</v>
      </c>
      <c r="H17">
        <f>AVERAGE('c16'!F2:H2)</f>
        <v>83.857442348008391</v>
      </c>
      <c r="K17" s="15">
        <v>16</v>
      </c>
      <c r="L17">
        <f t="shared" si="0"/>
        <v>94.232395053737292</v>
      </c>
      <c r="M17">
        <f t="shared" si="1"/>
        <v>90.923851274557563</v>
      </c>
    </row>
    <row r="19" spans="1:13" x14ac:dyDescent="0.35">
      <c r="A19" s="1" t="s">
        <v>353</v>
      </c>
      <c r="B19" s="1" t="s">
        <v>752</v>
      </c>
      <c r="C19" s="1" t="s">
        <v>753</v>
      </c>
      <c r="F19" s="1" t="s">
        <v>354</v>
      </c>
      <c r="G19" s="1" t="s">
        <v>752</v>
      </c>
      <c r="H19" s="1" t="s">
        <v>753</v>
      </c>
      <c r="K19" s="1" t="s">
        <v>758</v>
      </c>
      <c r="L19" s="1" t="s">
        <v>752</v>
      </c>
      <c r="M19" s="1" t="s">
        <v>753</v>
      </c>
    </row>
    <row r="20" spans="1:13" x14ac:dyDescent="0.35">
      <c r="A20" s="1" t="s">
        <v>754</v>
      </c>
      <c r="B20">
        <f xml:space="preserve"> AVERAGE(B2:B5)</f>
        <v>90.879953379953392</v>
      </c>
      <c r="C20">
        <f xml:space="preserve"> AVERAGE(C2:C5)</f>
        <v>87.015261308739582</v>
      </c>
      <c r="F20" s="1" t="s">
        <v>754</v>
      </c>
      <c r="G20">
        <f xml:space="preserve"> AVERAGE(G2:G5)</f>
        <v>100</v>
      </c>
      <c r="H20">
        <f xml:space="preserve"> AVERAGE(H2:H5)</f>
        <v>100</v>
      </c>
      <c r="K20" s="1" t="s">
        <v>754</v>
      </c>
      <c r="L20">
        <f xml:space="preserve"> 2 * (B20 * G20) / (B20 + G20)</f>
        <v>95.222103495649506</v>
      </c>
      <c r="M20">
        <f xml:space="preserve"> 2 * (C20 * H20) / (C20 + H20)</f>
        <v>93.056856108751361</v>
      </c>
    </row>
    <row r="21" spans="1:13" x14ac:dyDescent="0.35">
      <c r="A21" s="1" t="s">
        <v>755</v>
      </c>
      <c r="B21">
        <f xml:space="preserve"> AVERAGE(B6:B9)</f>
        <v>97.808953073320893</v>
      </c>
      <c r="C21">
        <f xml:space="preserve"> AVERAGE(C6:C9)</f>
        <v>91.718551304806567</v>
      </c>
      <c r="F21" s="1" t="s">
        <v>755</v>
      </c>
      <c r="G21">
        <f xml:space="preserve"> AVERAGE(G6:G9)</f>
        <v>92.182539682539684</v>
      </c>
      <c r="H21">
        <f xml:space="preserve"> AVERAGE(H6:H9)</f>
        <v>91.1111111111111</v>
      </c>
      <c r="K21" s="1" t="s">
        <v>755</v>
      </c>
      <c r="L21">
        <f t="shared" ref="L21:L23" si="2" xml:space="preserve"> 2 * (B21 * G21) / (B21 + G21)</f>
        <v>94.912435996015859</v>
      </c>
      <c r="M21">
        <f t="shared" ref="M21:M23" si="3" xml:space="preserve"> 2 * (C21 * H21) / (C21 + H21)</f>
        <v>91.413822116807978</v>
      </c>
    </row>
    <row r="22" spans="1:13" x14ac:dyDescent="0.35">
      <c r="A22" s="1" t="s">
        <v>756</v>
      </c>
      <c r="B22">
        <f xml:space="preserve"> AVERAGE(B10:B13)</f>
        <v>95.536062378167642</v>
      </c>
      <c r="C22">
        <f xml:space="preserve"> AVERAGE(C10:C13)</f>
        <v>91.772681294740124</v>
      </c>
      <c r="F22" s="1" t="s">
        <v>756</v>
      </c>
      <c r="G22">
        <f xml:space="preserve"> AVERAGE(G10:G13)</f>
        <v>97.000718390804593</v>
      </c>
      <c r="H22">
        <f xml:space="preserve"> AVERAGE(H10:H13)</f>
        <v>83.746408045977006</v>
      </c>
      <c r="K22" s="1" t="s">
        <v>756</v>
      </c>
      <c r="L22">
        <f t="shared" si="2"/>
        <v>96.262819456098356</v>
      </c>
      <c r="M22">
        <f t="shared" si="3"/>
        <v>87.576028841664979</v>
      </c>
    </row>
    <row r="23" spans="1:13" x14ac:dyDescent="0.35">
      <c r="A23" s="1" t="s">
        <v>757</v>
      </c>
      <c r="B23">
        <f xml:space="preserve"> AVERAGE(B14:B17)</f>
        <v>93.616363211951438</v>
      </c>
      <c r="C23">
        <f xml:space="preserve"> AVERAGE(C14:C17)</f>
        <v>95.399618112384076</v>
      </c>
      <c r="F23" s="1" t="s">
        <v>757</v>
      </c>
      <c r="G23">
        <f xml:space="preserve"> AVERAGE(G14:G17)</f>
        <v>89.322801279683233</v>
      </c>
      <c r="H23">
        <f xml:space="preserve"> AVERAGE(H14:H17)</f>
        <v>79.284685958940329</v>
      </c>
      <c r="K23" s="1" t="s">
        <v>757</v>
      </c>
      <c r="L23">
        <f t="shared" si="2"/>
        <v>91.419197534272783</v>
      </c>
      <c r="M23">
        <f t="shared" si="3"/>
        <v>86.598836716948568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B68AF-DFE5-4F26-AB68-95C3F774C92D}">
  <dimension ref="A1:K23"/>
  <sheetViews>
    <sheetView zoomScale="112" zoomScaleNormal="112" workbookViewId="0">
      <selection activeCell="E2" sqref="E2"/>
    </sheetView>
  </sheetViews>
  <sheetFormatPr defaultRowHeight="14.5" x14ac:dyDescent="0.35"/>
  <cols>
    <col min="1" max="1" width="37.54296875" customWidth="1"/>
    <col min="4" max="4" width="8.7265625" customWidth="1"/>
    <col min="5" max="5" width="18.54296875" style="2" customWidth="1"/>
    <col min="6" max="6" width="15" style="2" customWidth="1"/>
    <col min="7" max="7" width="19.26953125" style="2" customWidth="1"/>
    <col min="8" max="10" width="13.54296875" style="2" customWidth="1"/>
  </cols>
  <sheetData>
    <row r="1" spans="1:11" ht="45.75" customHeight="1" x14ac:dyDescent="0.35">
      <c r="B1" s="1"/>
      <c r="C1" s="1"/>
      <c r="D1" s="1"/>
      <c r="E1" s="5" t="s">
        <v>474</v>
      </c>
      <c r="F1" s="5" t="s">
        <v>475</v>
      </c>
      <c r="G1" s="5" t="s">
        <v>476</v>
      </c>
      <c r="H1" s="5" t="s">
        <v>477</v>
      </c>
      <c r="I1" s="5" t="s">
        <v>478</v>
      </c>
      <c r="J1" s="5" t="s">
        <v>479</v>
      </c>
      <c r="K1" s="1"/>
    </row>
    <row r="2" spans="1:11" x14ac:dyDescent="0.35">
      <c r="A2" s="1"/>
      <c r="D2" s="15">
        <v>1</v>
      </c>
      <c r="E2">
        <f>AVERAGE('c1'!K3, 'c1'!K4, 'c1'!L4)</f>
        <v>0.78333333333333333</v>
      </c>
      <c r="I2" s="16"/>
    </row>
    <row r="3" spans="1:11" x14ac:dyDescent="0.35">
      <c r="A3" s="1"/>
      <c r="D3" s="15">
        <v>2</v>
      </c>
      <c r="E3" s="2">
        <f>AVERAGE('c2'!K3, 'c2'!K4, 'c2'!L4)</f>
        <v>0.8666666666666667</v>
      </c>
      <c r="I3" s="16"/>
    </row>
    <row r="4" spans="1:11" x14ac:dyDescent="0.35">
      <c r="D4" s="15">
        <v>3</v>
      </c>
      <c r="E4" s="2">
        <f>AVERAGE('c3'!K3, 'c3'!K4, 'c3'!L4)</f>
        <v>0.91111111111111109</v>
      </c>
      <c r="I4" s="16"/>
    </row>
    <row r="5" spans="1:11" x14ac:dyDescent="0.35">
      <c r="A5" s="1" t="s">
        <v>474</v>
      </c>
      <c r="B5">
        <f>AVERAGE('c1:c16'!K3, 'c1:c16'!K4, 'c1:c16'!L4)</f>
        <v>0.79502676114033621</v>
      </c>
      <c r="D5" s="15">
        <v>4</v>
      </c>
      <c r="E5" s="2">
        <f>AVERAGE('c4'!K3, 'c4'!K4, 'c4'!L4)</f>
        <v>0.71408045977011492</v>
      </c>
      <c r="I5" s="16"/>
    </row>
    <row r="6" spans="1:11" x14ac:dyDescent="0.35">
      <c r="A6" s="1" t="s">
        <v>475</v>
      </c>
      <c r="B6">
        <f>AVERAGE('c1:c16'!N6, 'c1:c16'!N7, 'c1:c16'!O7)</f>
        <v>0.64488943014238764</v>
      </c>
      <c r="D6" s="15">
        <v>5</v>
      </c>
      <c r="E6" s="2">
        <f>AVERAGE('c5'!K3, 'c5'!K4, 'c5'!L4)</f>
        <v>0.9555555555555556</v>
      </c>
      <c r="I6" s="16"/>
    </row>
    <row r="7" spans="1:11" x14ac:dyDescent="0.35">
      <c r="A7" s="1" t="s">
        <v>476</v>
      </c>
      <c r="B7">
        <f>AVERAGE('c1:c16'!K5:M7)</f>
        <v>0.59604944573818885</v>
      </c>
      <c r="D7" s="15">
        <v>6</v>
      </c>
      <c r="E7" s="2">
        <f>AVERAGE('c6'!K3, 'c6'!K4, 'c6'!L4)</f>
        <v>0.86811965811965808</v>
      </c>
      <c r="I7" s="16"/>
    </row>
    <row r="8" spans="1:11" x14ac:dyDescent="0.35">
      <c r="D8" s="15">
        <v>7</v>
      </c>
      <c r="E8" s="2">
        <f>AVERAGE('c7'!K3, 'c7'!K4, 'c7'!L4)</f>
        <v>0.64558305591740239</v>
      </c>
      <c r="I8" s="16"/>
    </row>
    <row r="9" spans="1:11" x14ac:dyDescent="0.35">
      <c r="A9" s="1" t="s">
        <v>477</v>
      </c>
      <c r="B9">
        <f>AVERAGE('c1:c16'!R3, 'c1:c16'!R4, 'c1:c16'!S4)</f>
        <v>0.81616819850088085</v>
      </c>
      <c r="D9" s="15">
        <v>8</v>
      </c>
      <c r="E9" s="2">
        <f>AVERAGE('c8'!K3, 'c8'!K4, 'c8'!L4)</f>
        <v>0.63445596372425639</v>
      </c>
      <c r="I9" s="16"/>
    </row>
    <row r="10" spans="1:11" x14ac:dyDescent="0.35">
      <c r="A10" s="1" t="s">
        <v>478</v>
      </c>
      <c r="B10">
        <f>AVERAGE('c1:c16'!U6, 'c1:c16'!U7, 'c1:c16'!V7)</f>
        <v>0.70244016694296108</v>
      </c>
      <c r="D10" s="15">
        <v>9</v>
      </c>
      <c r="E10" s="2">
        <f>AVERAGE('c9'!K3, 'c9'!K4, 'c9'!L4)</f>
        <v>0.79541446208112865</v>
      </c>
      <c r="I10" s="16"/>
    </row>
    <row r="11" spans="1:11" x14ac:dyDescent="0.35">
      <c r="A11" s="1" t="s">
        <v>479</v>
      </c>
      <c r="B11">
        <f>AVERAGE('c1:c16'!R5:T7)</f>
        <v>0.64139767463655295</v>
      </c>
      <c r="D11" s="15">
        <v>10</v>
      </c>
      <c r="E11" s="2">
        <f>AVERAGE('c10'!K3, 'c10'!K4, 'c10'!L4)</f>
        <v>0.87042315535780501</v>
      </c>
      <c r="I11" s="16"/>
    </row>
    <row r="12" spans="1:11" x14ac:dyDescent="0.35">
      <c r="D12" s="15">
        <v>11</v>
      </c>
      <c r="E12" s="2">
        <f>AVERAGE('c11'!K3, 'c11'!K4, 'c11'!L4)</f>
        <v>0.96825396825396826</v>
      </c>
      <c r="I12" s="16"/>
    </row>
    <row r="13" spans="1:11" x14ac:dyDescent="0.35">
      <c r="D13" s="15">
        <v>12</v>
      </c>
      <c r="E13" s="2">
        <f>AVERAGE('c12'!K3, 'c12'!K4, 'c12'!L4)</f>
        <v>0.76640298835420795</v>
      </c>
      <c r="I13" s="16"/>
    </row>
    <row r="14" spans="1:11" x14ac:dyDescent="0.35">
      <c r="A14" s="1"/>
      <c r="D14" s="15">
        <v>13</v>
      </c>
      <c r="E14" s="2">
        <f>AVERAGE('c13'!K3, 'c13'!K4, 'c13'!L4)</f>
        <v>0.52739214808180324</v>
      </c>
      <c r="I14" s="16"/>
    </row>
    <row r="15" spans="1:11" x14ac:dyDescent="0.35">
      <c r="A15" s="1"/>
      <c r="D15" s="15">
        <v>14</v>
      </c>
      <c r="E15" s="2">
        <f>AVERAGE('c14'!K3, 'c14'!K4, 'c14'!L4)</f>
        <v>0.78935574229691874</v>
      </c>
      <c r="I15" s="16"/>
    </row>
    <row r="16" spans="1:11" x14ac:dyDescent="0.35">
      <c r="A16" s="1"/>
      <c r="D16" s="15">
        <v>15</v>
      </c>
      <c r="E16" s="2">
        <f>AVERAGE('c15'!K3, 'c15'!K4, 'c15'!L4)</f>
        <v>0.8494057215109847</v>
      </c>
      <c r="I16" s="16"/>
    </row>
    <row r="17" spans="1:11" x14ac:dyDescent="0.35">
      <c r="D17" s="15">
        <v>16</v>
      </c>
      <c r="E17" s="2">
        <f>AVERAGE('c16'!K3, 'c16'!K4, 'c16'!L4)</f>
        <v>0.77487418811046671</v>
      </c>
      <c r="I17" s="16"/>
    </row>
    <row r="18" spans="1:11" x14ac:dyDescent="0.35">
      <c r="A18" s="1"/>
    </row>
    <row r="19" spans="1:11" x14ac:dyDescent="0.35">
      <c r="A19" s="1"/>
      <c r="D19" s="1"/>
      <c r="E19" s="5"/>
      <c r="F19" s="5"/>
      <c r="I19" s="5"/>
      <c r="J19" s="5"/>
      <c r="K19" s="1"/>
    </row>
    <row r="20" spans="1:11" x14ac:dyDescent="0.35">
      <c r="A20" s="1"/>
      <c r="D20" s="1" t="s">
        <v>754</v>
      </c>
      <c r="E20" s="2">
        <f>AVERAGE('c1:c4'!K3, 'c1:c4'!K4, 'c1:c4'!L4)</f>
        <v>0.81879789272030656</v>
      </c>
      <c r="I20" s="5"/>
    </row>
    <row r="21" spans="1:11" x14ac:dyDescent="0.35">
      <c r="D21" s="1" t="s">
        <v>755</v>
      </c>
      <c r="E21" s="2">
        <f>AVERAGE('c5:c8'!K3,'c5:c8'!K4,'c5:c8'!L4)</f>
        <v>0.77592855832921803</v>
      </c>
      <c r="I21" s="5"/>
    </row>
    <row r="22" spans="1:11" x14ac:dyDescent="0.35">
      <c r="D22" s="1" t="s">
        <v>756</v>
      </c>
      <c r="E22" s="2">
        <f>AVERAGE('c9:c12'!K3, 'c9:c12'!K4, 'c9:c12'!L4)</f>
        <v>0.85012364351177749</v>
      </c>
      <c r="I22" s="5"/>
    </row>
    <row r="23" spans="1:11" x14ac:dyDescent="0.35">
      <c r="D23" s="1" t="s">
        <v>757</v>
      </c>
      <c r="E23" s="2">
        <f>AVERAGE('c13:c16'!K3, 'c13:c16'!K4, 'c13:c16'!L4)</f>
        <v>0.73525695000004332</v>
      </c>
      <c r="I2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5FE88-05EA-4038-B836-8723C6C2A8C4}">
  <dimension ref="A1:C20"/>
  <sheetViews>
    <sheetView zoomScale="112" zoomScaleNormal="112" workbookViewId="0">
      <selection activeCell="A5" sqref="A5:B11"/>
    </sheetView>
  </sheetViews>
  <sheetFormatPr defaultRowHeight="14.5" x14ac:dyDescent="0.35"/>
  <cols>
    <col min="1" max="1" width="37.54296875" customWidth="1"/>
    <col min="4" max="4" width="8.7265625" customWidth="1"/>
  </cols>
  <sheetData>
    <row r="1" spans="1:3" x14ac:dyDescent="0.35">
      <c r="B1" s="1" t="s">
        <v>355</v>
      </c>
      <c r="C1" s="1" t="s">
        <v>356</v>
      </c>
    </row>
    <row r="2" spans="1:3" x14ac:dyDescent="0.35">
      <c r="A2" s="1" t="s">
        <v>353</v>
      </c>
      <c r="B2">
        <f>AVERAGE('c1:c16'!C1:E1)</f>
        <v>94.460333010848331</v>
      </c>
      <c r="C2">
        <f>AVERAGE('c1:c16'!F1:H1)</f>
        <v>91.476528005167566</v>
      </c>
    </row>
    <row r="3" spans="1:3" x14ac:dyDescent="0.35">
      <c r="A3" s="1" t="s">
        <v>354</v>
      </c>
      <c r="B3">
        <f>AVERAGE('c1:c16'!C2:E2)</f>
        <v>94.626514838256867</v>
      </c>
      <c r="C3">
        <f>AVERAGE('c1:c16'!F2:H2)</f>
        <v>88.535551279007109</v>
      </c>
    </row>
    <row r="5" spans="1:3" x14ac:dyDescent="0.35">
      <c r="A5" s="1" t="s">
        <v>474</v>
      </c>
      <c r="B5">
        <f>AVERAGE('c1:c16'!K3, 'c1:c16'!K4, 'c1:c16'!L4)</f>
        <v>0.79502676114033621</v>
      </c>
    </row>
    <row r="6" spans="1:3" x14ac:dyDescent="0.35">
      <c r="A6" s="1" t="s">
        <v>475</v>
      </c>
      <c r="B6">
        <f>AVERAGE('c1:c16'!N6, 'c1:c16'!N7, 'c1:c16'!O7)</f>
        <v>0.64488943014238764</v>
      </c>
    </row>
    <row r="7" spans="1:3" x14ac:dyDescent="0.35">
      <c r="A7" s="1" t="s">
        <v>476</v>
      </c>
      <c r="B7">
        <f>AVERAGE('c1:c16'!K5:M7)</f>
        <v>0.59604944573818885</v>
      </c>
    </row>
    <row r="9" spans="1:3" x14ac:dyDescent="0.35">
      <c r="A9" s="1" t="s">
        <v>477</v>
      </c>
      <c r="B9">
        <f>AVERAGE('c1:c16'!R3, 'c1:c16'!R4, 'c1:c16'!S4)</f>
        <v>0.81616819850088085</v>
      </c>
    </row>
    <row r="10" spans="1:3" x14ac:dyDescent="0.35">
      <c r="A10" s="1" t="s">
        <v>478</v>
      </c>
      <c r="B10">
        <f>AVERAGE('c1:c16'!U6, 'c1:c16'!U7, 'c1:c16'!V7)</f>
        <v>0.70244016694296108</v>
      </c>
    </row>
    <row r="11" spans="1:3" x14ac:dyDescent="0.35">
      <c r="A11" s="1" t="s">
        <v>479</v>
      </c>
      <c r="B11">
        <f>AVERAGE('c1:c16'!R5:T7)</f>
        <v>0.64139767463655295</v>
      </c>
    </row>
    <row r="14" spans="1:3" x14ac:dyDescent="0.35">
      <c r="A14" s="1"/>
    </row>
    <row r="15" spans="1:3" x14ac:dyDescent="0.35">
      <c r="A15" s="1"/>
    </row>
    <row r="16" spans="1:3" x14ac:dyDescent="0.35">
      <c r="A16" s="1"/>
    </row>
    <row r="18" spans="1:1" x14ac:dyDescent="0.35">
      <c r="A18" s="1"/>
    </row>
    <row r="19" spans="1:1" x14ac:dyDescent="0.35">
      <c r="A19" s="1"/>
    </row>
    <row r="20" spans="1:1" x14ac:dyDescent="0.35">
      <c r="A2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30946-6338-4C83-B5E7-C8EF99EC36A5}">
  <dimension ref="A1:C20"/>
  <sheetViews>
    <sheetView workbookViewId="0">
      <selection activeCell="D15" sqref="D15"/>
    </sheetView>
  </sheetViews>
  <sheetFormatPr defaultRowHeight="14.5" x14ac:dyDescent="0.35"/>
  <cols>
    <col min="1" max="1" width="37.54296875" customWidth="1"/>
    <col min="4" max="4" width="8.7265625" customWidth="1"/>
  </cols>
  <sheetData>
    <row r="1" spans="1:3" x14ac:dyDescent="0.35">
      <c r="B1" s="1" t="s">
        <v>355</v>
      </c>
      <c r="C1" s="1" t="s">
        <v>356</v>
      </c>
    </row>
    <row r="2" spans="1:3" x14ac:dyDescent="0.35">
      <c r="A2" s="1" t="s">
        <v>353</v>
      </c>
      <c r="B2">
        <f>AVERAGE('c1:c12'!C1:E1)</f>
        <v>94.741656277147314</v>
      </c>
      <c r="C2">
        <f>AVERAGE('c1:c12'!F1:H1)</f>
        <v>90.168831302762072</v>
      </c>
    </row>
    <row r="3" spans="1:3" x14ac:dyDescent="0.35">
      <c r="A3" s="1" t="s">
        <v>354</v>
      </c>
      <c r="B3">
        <f>AVERAGE('c1:c12'!C2:E2)</f>
        <v>96.394419357781416</v>
      </c>
      <c r="C3">
        <f>AVERAGE('c1:c12'!F2:H2)</f>
        <v>91.619173052362711</v>
      </c>
    </row>
    <row r="5" spans="1:3" x14ac:dyDescent="0.35">
      <c r="A5" s="1" t="s">
        <v>474</v>
      </c>
      <c r="B5">
        <f>AVERAGE('c1:c12'!K3, 'c1:c12'!K4, 'c1:c12'!L4)</f>
        <v>0.81495003152043399</v>
      </c>
    </row>
    <row r="6" spans="1:3" x14ac:dyDescent="0.35">
      <c r="A6" s="1" t="s">
        <v>475</v>
      </c>
      <c r="B6">
        <f>AVERAGE('c1:c12'!N6, 'c1:c12'!N7, 'c1:c12'!O7)</f>
        <v>0.65316831226381356</v>
      </c>
    </row>
    <row r="7" spans="1:3" x14ac:dyDescent="0.35">
      <c r="A7" s="1" t="s">
        <v>476</v>
      </c>
      <c r="B7">
        <f>AVERAGE('c1:c12'!K5:M7)</f>
        <v>0.61825198823620608</v>
      </c>
    </row>
    <row r="9" spans="1:3" x14ac:dyDescent="0.35">
      <c r="A9" s="1" t="s">
        <v>477</v>
      </c>
      <c r="B9">
        <f>AVERAGE('c1:c12'!R3, 'c1:c12'!R4, 'c1:c12'!S4)</f>
        <v>0.84002698904469297</v>
      </c>
    </row>
    <row r="10" spans="1:3" x14ac:dyDescent="0.35">
      <c r="A10" s="1" t="s">
        <v>478</v>
      </c>
      <c r="B10">
        <f>AVERAGE('c1:c12'!U6, 'c1:c12'!U7, 'c1:c12'!V7)</f>
        <v>0.70950305369820132</v>
      </c>
    </row>
    <row r="11" spans="1:3" x14ac:dyDescent="0.35">
      <c r="A11" s="1" t="s">
        <v>479</v>
      </c>
      <c r="B11">
        <f>AVERAGE('c1:c12'!R5:T7)</f>
        <v>0.65927858727043631</v>
      </c>
    </row>
    <row r="14" spans="1:3" x14ac:dyDescent="0.35">
      <c r="A14" s="1"/>
    </row>
    <row r="15" spans="1:3" x14ac:dyDescent="0.35">
      <c r="A15" s="1"/>
    </row>
    <row r="16" spans="1:3" x14ac:dyDescent="0.35">
      <c r="A16" s="1"/>
    </row>
    <row r="18" spans="1:1" x14ac:dyDescent="0.35">
      <c r="A18" s="1"/>
    </row>
    <row r="19" spans="1:1" x14ac:dyDescent="0.35">
      <c r="A19" s="1"/>
    </row>
    <row r="20" spans="1:1" x14ac:dyDescent="0.35">
      <c r="A2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A1093-1C87-473B-A3D2-7041632BCAB7}">
  <dimension ref="A1:C20"/>
  <sheetViews>
    <sheetView workbookViewId="0">
      <selection activeCell="B2" sqref="B2"/>
    </sheetView>
  </sheetViews>
  <sheetFormatPr defaultRowHeight="14.5" x14ac:dyDescent="0.35"/>
  <cols>
    <col min="1" max="1" width="37.54296875" customWidth="1"/>
    <col min="4" max="4" width="8.7265625" customWidth="1"/>
  </cols>
  <sheetData>
    <row r="1" spans="1:3" x14ac:dyDescent="0.35">
      <c r="B1" s="1" t="s">
        <v>355</v>
      </c>
      <c r="C1" s="1" t="s">
        <v>356</v>
      </c>
    </row>
    <row r="2" spans="1:3" x14ac:dyDescent="0.35">
      <c r="A2" s="1" t="s">
        <v>353</v>
      </c>
      <c r="B2">
        <f>AVERAGE('c13:c16'!C1:E1)</f>
        <v>93.616363211951452</v>
      </c>
      <c r="C2">
        <f>AVERAGE('c13:c16'!F1:H1)</f>
        <v>95.399618112384061</v>
      </c>
    </row>
    <row r="3" spans="1:3" x14ac:dyDescent="0.35">
      <c r="A3" s="1" t="s">
        <v>354</v>
      </c>
      <c r="B3">
        <f>AVERAGE('c13:c16'!C2:E2)</f>
        <v>89.322801279683233</v>
      </c>
      <c r="C3">
        <f>AVERAGE('c13:c16'!F2:H2)</f>
        <v>79.284685958940344</v>
      </c>
    </row>
    <row r="5" spans="1:3" x14ac:dyDescent="0.35">
      <c r="A5" s="1" t="s">
        <v>474</v>
      </c>
      <c r="B5">
        <f>AVERAGE('c13:c16'!K3, 'c13:c16'!K4, 'c13:c16'!L4)</f>
        <v>0.73525695000004332</v>
      </c>
    </row>
    <row r="6" spans="1:3" x14ac:dyDescent="0.35">
      <c r="A6" s="1" t="s">
        <v>475</v>
      </c>
      <c r="B6">
        <f>AVERAGE('c13:c16'!N6, 'c13:c16'!N7, 'c13:c16'!O7)</f>
        <v>0.6200527837781098</v>
      </c>
    </row>
    <row r="7" spans="1:3" x14ac:dyDescent="0.35">
      <c r="A7" s="1" t="s">
        <v>476</v>
      </c>
      <c r="B7">
        <f>AVERAGE('c13:c16'!K5:M7)</f>
        <v>0.52944181824413672</v>
      </c>
    </row>
    <row r="9" spans="1:3" x14ac:dyDescent="0.35">
      <c r="A9" s="1" t="s">
        <v>477</v>
      </c>
      <c r="B9">
        <f>AVERAGE('c13:c16'!R3, 'c13:c16'!R4, 'c13:c16'!S4)</f>
        <v>0.74459182686944414</v>
      </c>
    </row>
    <row r="10" spans="1:3" x14ac:dyDescent="0.35">
      <c r="A10" s="1" t="s">
        <v>478</v>
      </c>
      <c r="B10">
        <f>AVERAGE('c13:c16'!U6, 'c13:c16'!U7, 'c13:c16'!V7)</f>
        <v>0.68125150667724033</v>
      </c>
    </row>
    <row r="11" spans="1:3" x14ac:dyDescent="0.35">
      <c r="A11" s="1" t="s">
        <v>479</v>
      </c>
      <c r="B11">
        <f>AVERAGE('c13:c16'!R5:T7)</f>
        <v>0.58775493673490364</v>
      </c>
    </row>
    <row r="14" spans="1:3" x14ac:dyDescent="0.35">
      <c r="A14" s="1"/>
    </row>
    <row r="15" spans="1:3" x14ac:dyDescent="0.35">
      <c r="A15" s="1"/>
    </row>
    <row r="16" spans="1:3" x14ac:dyDescent="0.35">
      <c r="A16" s="1"/>
    </row>
    <row r="18" spans="1:1" x14ac:dyDescent="0.35">
      <c r="A18" s="1"/>
    </row>
    <row r="19" spans="1:1" x14ac:dyDescent="0.35">
      <c r="A19" s="1"/>
    </row>
    <row r="20" spans="1:1" x14ac:dyDescent="0.35">
      <c r="A20"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EED19-35B7-4A98-98ED-01AC40CAF2C0}">
  <dimension ref="A1:W41"/>
  <sheetViews>
    <sheetView zoomScale="90" zoomScaleNormal="90" workbookViewId="0">
      <selection activeCell="H7" sqref="H7"/>
    </sheetView>
  </sheetViews>
  <sheetFormatPr defaultRowHeight="14.5" x14ac:dyDescent="0.35"/>
  <cols>
    <col min="1" max="1" width="28" customWidth="1"/>
    <col min="2" max="2" width="28.81640625" style="2" customWidth="1"/>
    <col min="3" max="8" width="15.453125" customWidth="1"/>
    <col min="10" max="10" width="14.81640625" customWidth="1"/>
    <col min="11" max="11" width="13.453125" customWidth="1"/>
    <col min="12" max="12" width="13.54296875" customWidth="1"/>
    <col min="13" max="13" width="12.54296875" customWidth="1"/>
    <col min="14" max="14" width="12" customWidth="1"/>
    <col min="15" max="15" width="12.453125" customWidth="1"/>
    <col min="16" max="16" width="12.81640625" customWidth="1"/>
    <col min="17" max="17" width="14" customWidth="1"/>
    <col min="18" max="18" width="15.1796875" customWidth="1"/>
    <col min="19" max="19" width="13.1796875" customWidth="1"/>
    <col min="20" max="20" width="12.453125" customWidth="1"/>
    <col min="21" max="21" width="12.26953125" customWidth="1"/>
    <col min="22" max="22" width="14.1796875" customWidth="1"/>
  </cols>
  <sheetData>
    <row r="1" spans="1:23" x14ac:dyDescent="0.35">
      <c r="A1" s="1" t="s">
        <v>352</v>
      </c>
      <c r="C1">
        <f xml:space="preserve"> SUM(C3:C4) / (C3+ C4+ C7) * 100</f>
        <v>92.307692307692307</v>
      </c>
      <c r="D1">
        <f t="shared" ref="D1:H1" si="0" xml:space="preserve"> SUM(D3:D4) / (D3+ D4+ D7) * 100</f>
        <v>92.307692307692307</v>
      </c>
      <c r="E1">
        <f t="shared" si="0"/>
        <v>92.307692307692307</v>
      </c>
      <c r="F1">
        <f t="shared" si="0"/>
        <v>100</v>
      </c>
      <c r="G1">
        <f t="shared" si="0"/>
        <v>75</v>
      </c>
      <c r="H1">
        <f t="shared" si="0"/>
        <v>100</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100</v>
      </c>
      <c r="D2">
        <f t="shared" ref="D2:H2" si="1" xml:space="preserve"> SUM(D3:D4) / SUM(D3:D5) *100</f>
        <v>100</v>
      </c>
      <c r="E2">
        <f t="shared" si="1"/>
        <v>100</v>
      </c>
      <c r="F2">
        <f t="shared" si="1"/>
        <v>100</v>
      </c>
      <c r="G2">
        <f t="shared" si="1"/>
        <v>100</v>
      </c>
      <c r="H2">
        <f t="shared" si="1"/>
        <v>100</v>
      </c>
      <c r="J2" s="1" t="s">
        <v>13</v>
      </c>
      <c r="K2" s="10"/>
      <c r="L2" s="10"/>
      <c r="M2" s="10"/>
      <c r="Q2" s="1" t="s">
        <v>13</v>
      </c>
      <c r="R2" s="10"/>
      <c r="S2" s="10"/>
      <c r="T2" s="10"/>
    </row>
    <row r="3" spans="1:23" x14ac:dyDescent="0.35">
      <c r="A3" s="1" t="s">
        <v>242</v>
      </c>
      <c r="C3" s="2">
        <f t="shared" ref="C3:D3" si="2">COUNTIF(C10:C21, 2)</f>
        <v>11</v>
      </c>
      <c r="D3" s="2">
        <f t="shared" si="2"/>
        <v>11</v>
      </c>
      <c r="E3" s="2">
        <f>COUNTIF(E10:E21, 2)</f>
        <v>11</v>
      </c>
      <c r="F3" s="2">
        <f>COUNTIF(F10:F21, 2)</f>
        <v>12</v>
      </c>
      <c r="G3" s="2">
        <f t="shared" ref="G3:H3" si="3">COUNTIF(G10:G21, 2)</f>
        <v>11</v>
      </c>
      <c r="H3" s="2">
        <f t="shared" si="3"/>
        <v>12</v>
      </c>
      <c r="J3" s="1" t="s">
        <v>14</v>
      </c>
      <c r="K3" s="10" cm="1">
        <f t="array" ref="K3">IFERROR(SUMPRODUCT((C10:C100&lt;&gt;"")*(D10:D100&lt;&gt;"")*(C10:C100=D10:D100))/SUMPRODUCT(--((C10:C100&lt;&gt;"")+(D10:D100&lt;&gt;"")&gt;0)),"")</f>
        <v>0.85</v>
      </c>
      <c r="L3" s="10"/>
      <c r="M3" s="10"/>
      <c r="Q3" s="1" t="s">
        <v>14</v>
      </c>
      <c r="R3" s="10" cm="1">
        <f t="array" ref="R3">IFERROR(
   SUMPRODUCT((C10:C100&lt;&gt;"")*(D10:D100&lt;&gt;"")*
   ((C10:C100=D10:D100)+((C10:C100=1)*(D10:D100=2))+((C10:C100=2)*(D10:D100=1))))
   /
   SUMPRODUCT(--((C10:C100&lt;&gt;"")+(D10:D100&lt;&gt;"")&gt;0)),
"")</f>
        <v>0.85</v>
      </c>
      <c r="S3" s="10"/>
      <c r="T3" s="10"/>
    </row>
    <row r="4" spans="1:23" x14ac:dyDescent="0.35">
      <c r="A4" s="1" t="s">
        <v>243</v>
      </c>
      <c r="C4">
        <f>COUNTIF(C10:C21, 1)</f>
        <v>1</v>
      </c>
      <c r="D4">
        <f t="shared" ref="D4:H4" si="4">COUNTIF(D10:D21, 1)</f>
        <v>1</v>
      </c>
      <c r="E4">
        <f t="shared" si="4"/>
        <v>1</v>
      </c>
      <c r="F4">
        <f t="shared" si="4"/>
        <v>0</v>
      </c>
      <c r="G4">
        <f t="shared" si="4"/>
        <v>1</v>
      </c>
      <c r="H4">
        <f t="shared" si="4"/>
        <v>0</v>
      </c>
      <c r="J4" s="1" t="s">
        <v>15</v>
      </c>
      <c r="K4" s="10" cm="1">
        <f t="array" ref="K4">IFERROR(SUMPRODUCT((C10:C100&lt;&gt;"")*(E10:E100&lt;&gt;"")*(C10:C100=E10:E100))/SUMPRODUCT(--((C10:C100&lt;&gt;"")+(E10:E100&lt;&gt;"")&gt;0)),"")</f>
        <v>0.68181818181818177</v>
      </c>
      <c r="L4" s="10" cm="1">
        <f t="array" ref="L4">IFERROR(SUMPRODUCT((E10:E100&lt;&gt;"")*(D10:D100&lt;&gt;"")*(E10:E100=D10:D100))/SUMPRODUCT(--((E10:E100&lt;&gt;"")+(D10:D100&lt;&gt;"")&gt;0)),"")</f>
        <v>0.81818181818181823</v>
      </c>
      <c r="M4" s="10"/>
      <c r="Q4" s="1" t="s">
        <v>15</v>
      </c>
      <c r="R4" s="10" cm="1">
        <f t="array" ref="R4">IFERROR(
   SUMPRODUCT((C10:C100&lt;&gt;"")*(E10:E100&lt;&gt;"")*
   ((C10:C100=E10:E100)+((C10:C100=1)*(E10:E100=2))+((C10:C100=2)*(E10:E100=1))))
   /
   SUMPRODUCT(--((C10:C100&lt;&gt;"")+(E10:E100&lt;&gt;"")&gt;0)),
"")</f>
        <v>0.77272727272727271</v>
      </c>
      <c r="S4" s="10" cm="1">
        <f t="array" ref="S4">IFERROR(
   SUMPRODUCT((E10:E100&lt;&gt;"")*(D10:D100&lt;&gt;"")*
   ((E10:E100=D10:D100)+((E10:E100=1)*(D10:D100=2))+((E10:E100=2)*(D10:D100=1))))
   /
   SUMPRODUCT(--((E10:E100&lt;&gt;"")+(D10:D100&lt;&gt;"")&gt;0)),
"")</f>
        <v>0.90909090909090906</v>
      </c>
      <c r="T4" s="10"/>
    </row>
    <row r="5" spans="1:23" x14ac:dyDescent="0.35">
      <c r="A5" s="1" t="s">
        <v>244</v>
      </c>
      <c r="C5">
        <f>COUNTIF(C10:C21, 0)</f>
        <v>0</v>
      </c>
      <c r="D5">
        <f t="shared" ref="D5:H5" si="5">COUNTIF(D10:D21, 0)</f>
        <v>0</v>
      </c>
      <c r="E5">
        <f t="shared" si="5"/>
        <v>0</v>
      </c>
      <c r="F5">
        <f t="shared" si="5"/>
        <v>0</v>
      </c>
      <c r="G5">
        <f t="shared" si="5"/>
        <v>0</v>
      </c>
      <c r="H5">
        <f t="shared" si="5"/>
        <v>0</v>
      </c>
      <c r="J5" s="1" t="s">
        <v>16</v>
      </c>
      <c r="K5" s="11" cm="1">
        <f t="array" ref="K5">IFERROR(SUMPRODUCT((C10:C100&lt;&gt;"")*(F10:F100&lt;&gt;"")*(C10:C100=F10:F100))/SUMPRODUCT(--((C10:C100&lt;&gt;"")+(F10:F100&lt;&gt;"")&gt;0)),"")</f>
        <v>0.63157894736842102</v>
      </c>
      <c r="L5" s="11" cm="1">
        <f t="array" ref="L5">IFERROR(SUMPRODUCT((F10:F100&lt;&gt;"")*(D10:D100&lt;&gt;"")*(F10:F100=D10:D100))/SUMPRODUCT(--((F10:F100&lt;&gt;"")+(D10:D100&lt;&gt;"")&gt;0)),"")</f>
        <v>0.54545454545454541</v>
      </c>
      <c r="M5" s="11" cm="1">
        <f t="array" ref="M5">IFERROR(SUMPRODUCT((F10:F100&lt;&gt;"")*(E10:E100&lt;&gt;"")*(F10:F100=E10:E100))/SUMPRODUCT(--((F10:F100&lt;&gt;"")+(E10:E100&lt;&gt;"")&gt;0)),"")</f>
        <v>0.5</v>
      </c>
      <c r="N5" s="10"/>
      <c r="O5" s="10"/>
      <c r="Q5" s="1" t="s">
        <v>16</v>
      </c>
      <c r="R5" s="11" cm="1">
        <f t="array" ref="R5">IFERROR(
   SUMPRODUCT((C10:C100&lt;&gt;"")*(F10:F100&lt;&gt;"")*
   ((C10:C100=F10:F100)+((C10:C100=1)*(F10:F100=2))+((C10:C100=2)*(F10:F100=1))))
   /
   SUMPRODUCT(--((C10:C100&lt;&gt;"")+(F10:F100&lt;&gt;"")&gt;0)),
"")</f>
        <v>0.68421052631578949</v>
      </c>
      <c r="S5" s="11" cm="1">
        <f t="array" ref="S5">IFERROR(
   SUMPRODUCT((F10:F100&lt;&gt;"")*(D10:D100&lt;&gt;"")*
   ((F10:F100=D10:D100)+((F10:F100=1)*(D10:D100=2))+((F10:F100=2)*(D10:D100=1))))
   /
   SUMPRODUCT(--((F10:F100&lt;&gt;"")+(D10:D100&lt;&gt;"")&gt;0)),
"")</f>
        <v>0.59090909090909094</v>
      </c>
      <c r="T5" s="11" cm="1">
        <f t="array" ref="T5">IFERROR(
   SUMPRODUCT((F10:F100&lt;&gt;"")*(E10:E100&lt;&gt;"")*
   ((F10:F100=E10:E100)+((F10:F100=1)*(E10:E100=2))+((F10:F100=2)*(E10:E100=1))))
   /
   SUMPRODUCT(--((F10:F100&lt;&gt;"")+(E10:E100&lt;&gt;"")&gt;0)),
"")</f>
        <v>0.54166666666666663</v>
      </c>
      <c r="U5" s="10"/>
      <c r="V5" s="10"/>
    </row>
    <row r="6" spans="1:23" x14ac:dyDescent="0.35">
      <c r="A6" s="1" t="s">
        <v>245</v>
      </c>
      <c r="C6">
        <f>COUNTIF(C23:C41,0) + COUNTIF(C23:C41,1)</f>
        <v>5</v>
      </c>
      <c r="D6">
        <f t="shared" ref="D6:H6" si="6">COUNTIF(D23:D41,0) + COUNTIF(D23:D41,1)</f>
        <v>8</v>
      </c>
      <c r="E6">
        <f t="shared" si="6"/>
        <v>10</v>
      </c>
      <c r="F6">
        <f t="shared" si="6"/>
        <v>3</v>
      </c>
      <c r="G6">
        <f t="shared" si="6"/>
        <v>6</v>
      </c>
      <c r="H6">
        <f t="shared" si="6"/>
        <v>7</v>
      </c>
      <c r="J6" s="1" t="s">
        <v>17</v>
      </c>
      <c r="K6" s="11" cm="1">
        <f t="array" ref="K6">IFERROR(SUMPRODUCT((C10:C100&lt;&gt;"")*(G10:G100&lt;&gt;"")*(C10:C100=G10:G100))/SUMPRODUCT(--((C10:C100&lt;&gt;"")+(G10:G100&lt;&gt;"")&gt;0)),"")</f>
        <v>0.5</v>
      </c>
      <c r="L6" s="11" cm="1">
        <f t="array" ref="L6">SUMPRODUCT((D10:D100&lt;&gt;0)*(G10:G100&lt;&gt;0)) / SUMPRODUCT(((D10:D100&lt;&gt;0)+(G10:G100&lt;&gt;0)&gt;0)*1)</f>
        <v>0.65</v>
      </c>
      <c r="M6" s="11" cm="1">
        <f t="array" ref="M6">IFERROR(SUMPRODUCT((G10:G100&lt;&gt;"")*(E10:E100&lt;&gt;"")*(G10:G100=E10:E100))/SUMPRODUCT(--((G10:G100&lt;&gt;"")+(E10:E100&lt;&gt;"")&gt;0)),"")</f>
        <v>0.48148148148148145</v>
      </c>
      <c r="N6" s="10" cm="1">
        <f t="array" ref="N6">IFERROR(SUMPRODUCT((G10:G100&lt;&gt;"")*(F10:F100&lt;&gt;"")*(G10:G100=F10:F100))/SUMPRODUCT(--((G10:G100&lt;&gt;"")+(F10:F100&lt;&gt;"")&gt;0)),"")</f>
        <v>0.6</v>
      </c>
      <c r="O6" s="10"/>
      <c r="Q6" s="1" t="s">
        <v>17</v>
      </c>
      <c r="R6" s="11" cm="1">
        <f t="array" ref="R6">IFERROR(
   SUMPRODUCT((C10:C100&lt;&gt;"")*(G10:G100&lt;&gt;"")*
   ((C10:C100=G10:G100)+((C10:C100=1)*(G10:G100=2))+((C10:C100=2)*(G10:G100=1))))
   /
   SUMPRODUCT(--((C10:C100&lt;&gt;"")+(G10:G100&lt;&gt;"")&gt;0)),
"")</f>
        <v>0.59090909090909094</v>
      </c>
      <c r="S6" s="11" cm="1">
        <f t="array" ref="S6">IFERROR(
   SUMPRODUCT((D10:D100&lt;&gt;"")*(G10:G100&lt;&gt;"")*
   ((D10:D100=G10:G100)+((D10:D100=1)*(G10:G100=2))+((D10:D100=2)*(G10:G100=1))))
   /
   SUMPRODUCT(--((D10:D100&lt;&gt;"")+(G10:G100&lt;&gt;"")&gt;0)),
"")</f>
        <v>0.52</v>
      </c>
      <c r="T6" s="11" cm="1">
        <f t="array" ref="T6">IFERROR(
   SUMPRODUCT((G10:G100&lt;&gt;"")*(E10:E100&lt;&gt;"")*
   ((G10:G100=E10:E100)+((G10:G100=1)*(E10:E100=2))+((G10:G100=2)*(E10:E100=1))))
   /
   SUMPRODUCT(--((G10:G100&lt;&gt;"")+(E10:E100&lt;&gt;"")&gt;0)),
"")</f>
        <v>0.48148148148148145</v>
      </c>
      <c r="U6" s="10" cm="1">
        <f t="array" ref="U6">IFERROR(
   SUMPRODUCT((F10:F100&lt;&gt;"")*(G10:G100&lt;&gt;"")*
   ((F10:F100=G10:G100)+((F10:F100=1)*(G10:G100=2))+((F10:F100=2)*(G10:G100=1))))
   /
   SUMPRODUCT(--((F10:F100&lt;&gt;"")+(G10:G100&lt;&gt;"")&gt;0)),
"")</f>
        <v>0.65</v>
      </c>
      <c r="V6" s="10"/>
    </row>
    <row r="7" spans="1:23" x14ac:dyDescent="0.35">
      <c r="A7" s="1" t="s">
        <v>246</v>
      </c>
      <c r="C7">
        <f>COUNTIF(C23:C41,0)</f>
        <v>1</v>
      </c>
      <c r="D7">
        <f t="shared" ref="D7:H7" si="7">COUNTIF(D23:D41,0)</f>
        <v>1</v>
      </c>
      <c r="E7">
        <f t="shared" si="7"/>
        <v>1</v>
      </c>
      <c r="F7">
        <f t="shared" si="7"/>
        <v>0</v>
      </c>
      <c r="G7">
        <f t="shared" si="7"/>
        <v>4</v>
      </c>
      <c r="H7">
        <f t="shared" si="7"/>
        <v>0</v>
      </c>
      <c r="J7" s="1" t="s">
        <v>18</v>
      </c>
      <c r="K7" s="11" cm="1">
        <f t="array" ref="K7">IFERROR(SUMPRODUCT((C10:C100&lt;&gt;"")*(H10:H100&lt;&gt;"")*(C10:C100=H10:H100))/SUMPRODUCT(--((C10:C100&lt;&gt;"")+(H10:H100&lt;&gt;"")&gt;0)),"")</f>
        <v>0.75</v>
      </c>
      <c r="L7" s="11" cm="1">
        <f t="array" ref="L7">IFERROR(SUMPRODUCT((H10:H100&lt;&gt;"")*(D10:D100&lt;&gt;"")*(H10:H100=D10:D100))/SUMPRODUCT(--((H10:H100&lt;&gt;"")+(D10:D100&lt;&gt;"")&gt;0)),"")</f>
        <v>0.72727272727272729</v>
      </c>
      <c r="M7" s="11" cm="1">
        <f t="array" ref="M7">IFERROR(SUMPRODUCT((H10:H100&lt;&gt;"")*(E10:E100&lt;&gt;"")*(H10:H100=E10:E100))/SUMPRODUCT(--((H10:H100&lt;&gt;"")+(E10:E100&lt;&gt;"")&gt;0)),"")</f>
        <v>0.66666666666666663</v>
      </c>
      <c r="N7" s="10" cm="1">
        <f t="array" ref="N7">IFERROR(SUMPRODUCT((F10:F100&lt;&gt;"")*(H10:H100&lt;&gt;"")*(F10:F100=H10:H100))/SUMPRODUCT(--((F10:F100&lt;&gt;"")+(H10:H100&lt;&gt;"")&gt;0)),"")</f>
        <v>0.61904761904761907</v>
      </c>
      <c r="O7" s="10" cm="1">
        <f t="array" ref="O7">IFERROR(SUMPRODUCT((G10:G100&lt;&gt;"")*(H10:H100&lt;&gt;"")*(G10:G100=H10:H100))/SUMPRODUCT(--((G10:G100&lt;&gt;"")+(H10:H100&lt;&gt;"")&gt;0)),"")</f>
        <v>0.5</v>
      </c>
      <c r="Q7" s="1" t="s">
        <v>18</v>
      </c>
      <c r="R7" s="11" cm="1">
        <f t="array" ref="R7">IFERROR(
   SUMPRODUCT((C10:C100&lt;&gt;"")*(H10:H100&lt;&gt;"")*
   ((C10:C100=H10:H100)+((C10:C100=1)*(H10:H100=2))+((C10:C100=2)*(H10:H100=1))))
   /
   SUMPRODUCT(--((C10:C100&lt;&gt;"")+(H10:H100&lt;&gt;"")&gt;0)),
"")</f>
        <v>0.8</v>
      </c>
      <c r="S7" s="11" cm="1">
        <f t="array" ref="S7">IFERROR(
   SUMPRODUCT((H10:H100&lt;&gt;"")*(D10:D100&lt;&gt;"")*
   ((H10:H100=D10:D100)+((H10:H100=1)*(D10:D100=2))+((H10:H100=2)*(D10:D100=1))))
   /
   SUMPRODUCT(--((H10:H100&lt;&gt;"")+(D10:D100&lt;&gt;"")&gt;0)),
"")</f>
        <v>0.77272727272727271</v>
      </c>
      <c r="T7" s="11" cm="1">
        <f t="array" ref="T7">IFERROR(
   SUMPRODUCT((H10:H100&lt;&gt;"")*(E10:E100&lt;&gt;"")*
   ((H10:H100=E10:E100)+((H10:H100=1)*(E10:E100=2))+((H10:H100=2)*(E10:E100=1))))
   /
   SUMPRODUCT(--((H10:H100&lt;&gt;"")+(E10:E100&lt;&gt;"")&gt;0)),
"")</f>
        <v>0.70833333333333337</v>
      </c>
      <c r="U7" s="10" cm="1">
        <f t="array" ref="U7">IFERROR(
   SUMPRODUCT((F10:F100&lt;&gt;"")*(H10:H100&lt;&gt;"")*
   ((F10:F100=H10:H100)+((F10:F100=1)*(H10:H100=2))+((F10:F100=2)*(H10:H100=1))))
   /
   SUMPRODUCT(--((F10:F100&lt;&gt;"")+(H10:H100&lt;&gt;"")&gt;0)),
"")</f>
        <v>0.61904761904761907</v>
      </c>
      <c r="V7" s="10" cm="1">
        <f t="array" ref="V7">IFERROR(
   SUMPRODUCT((H10:H100&lt;&gt;"")*(G10:G100&lt;&gt;"")*
   ((H10:H100=G10:G100)+((H10:H100=1)*(G10:G100=2))+((H10:H100=2)*(G10:G100=1))))
   /
   SUMPRODUCT(--((H10:H100&lt;&gt;"")+(G10:G100&lt;&gt;"")&gt;0)),
"")</f>
        <v>0.54166666666666663</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5</v>
      </c>
      <c r="B10" s="2" t="s">
        <v>0</v>
      </c>
      <c r="C10">
        <v>2</v>
      </c>
      <c r="D10">
        <v>2</v>
      </c>
      <c r="E10">
        <v>2</v>
      </c>
      <c r="F10">
        <v>2</v>
      </c>
      <c r="G10">
        <v>2</v>
      </c>
      <c r="H10">
        <v>2</v>
      </c>
    </row>
    <row r="11" spans="1:23" x14ac:dyDescent="0.35">
      <c r="A11" s="1"/>
      <c r="B11" s="2" t="s">
        <v>1</v>
      </c>
      <c r="C11">
        <v>1</v>
      </c>
      <c r="D11">
        <v>1</v>
      </c>
      <c r="E11">
        <v>2</v>
      </c>
      <c r="F11">
        <v>2</v>
      </c>
      <c r="G11">
        <v>2</v>
      </c>
      <c r="H11">
        <v>2</v>
      </c>
    </row>
    <row r="12" spans="1:23" x14ac:dyDescent="0.35">
      <c r="A12" s="1" t="s">
        <v>6</v>
      </c>
      <c r="B12" s="2" t="s">
        <v>7</v>
      </c>
      <c r="C12">
        <v>2</v>
      </c>
      <c r="D12">
        <v>2</v>
      </c>
      <c r="E12">
        <v>2</v>
      </c>
      <c r="F12">
        <v>2</v>
      </c>
      <c r="G12">
        <v>2</v>
      </c>
      <c r="H12">
        <v>2</v>
      </c>
    </row>
    <row r="13" spans="1:23" x14ac:dyDescent="0.35">
      <c r="A13" s="1"/>
      <c r="B13" s="2" t="s">
        <v>8</v>
      </c>
      <c r="C13">
        <v>2</v>
      </c>
      <c r="D13">
        <v>2</v>
      </c>
      <c r="E13">
        <v>2</v>
      </c>
      <c r="F13">
        <v>2</v>
      </c>
      <c r="G13">
        <v>2</v>
      </c>
      <c r="H13">
        <v>2</v>
      </c>
    </row>
    <row r="14" spans="1:23" x14ac:dyDescent="0.35">
      <c r="A14" s="1"/>
      <c r="B14" s="2" t="s">
        <v>9</v>
      </c>
      <c r="C14">
        <v>2</v>
      </c>
      <c r="D14">
        <v>2</v>
      </c>
      <c r="E14">
        <v>2</v>
      </c>
      <c r="F14">
        <v>2</v>
      </c>
      <c r="G14">
        <v>2</v>
      </c>
      <c r="H14">
        <v>2</v>
      </c>
    </row>
    <row r="15" spans="1:23" x14ac:dyDescent="0.35">
      <c r="A15" s="1"/>
      <c r="B15" s="2" t="s">
        <v>10</v>
      </c>
      <c r="C15">
        <v>2</v>
      </c>
      <c r="D15">
        <v>2</v>
      </c>
      <c r="E15">
        <v>2</v>
      </c>
      <c r="F15">
        <v>2</v>
      </c>
      <c r="G15">
        <v>2</v>
      </c>
      <c r="H15">
        <v>2</v>
      </c>
    </row>
    <row r="16" spans="1:23" x14ac:dyDescent="0.35">
      <c r="A16" s="1"/>
      <c r="B16" s="2" t="s">
        <v>11</v>
      </c>
      <c r="C16">
        <v>2</v>
      </c>
      <c r="D16">
        <v>2</v>
      </c>
      <c r="E16">
        <v>2</v>
      </c>
      <c r="F16">
        <v>2</v>
      </c>
      <c r="G16">
        <v>2</v>
      </c>
      <c r="H16">
        <v>2</v>
      </c>
    </row>
    <row r="17" spans="1:8" x14ac:dyDescent="0.35">
      <c r="A17" s="1"/>
      <c r="B17" s="2" t="s">
        <v>12</v>
      </c>
      <c r="C17">
        <v>2</v>
      </c>
      <c r="D17">
        <v>2</v>
      </c>
      <c r="E17">
        <v>2</v>
      </c>
      <c r="F17">
        <v>2</v>
      </c>
      <c r="G17">
        <v>2</v>
      </c>
      <c r="H17">
        <v>2</v>
      </c>
    </row>
    <row r="18" spans="1:8" x14ac:dyDescent="0.35">
      <c r="A18" s="1"/>
      <c r="B18" s="2" t="s">
        <v>43</v>
      </c>
      <c r="C18">
        <v>2</v>
      </c>
      <c r="D18">
        <v>2</v>
      </c>
      <c r="E18">
        <v>2</v>
      </c>
      <c r="F18">
        <v>2</v>
      </c>
      <c r="G18">
        <v>2</v>
      </c>
      <c r="H18">
        <v>2</v>
      </c>
    </row>
    <row r="19" spans="1:8" x14ac:dyDescent="0.35">
      <c r="A19" s="1" t="s">
        <v>19</v>
      </c>
      <c r="B19" s="2" t="s">
        <v>4</v>
      </c>
      <c r="C19">
        <v>2</v>
      </c>
      <c r="D19">
        <v>2</v>
      </c>
      <c r="E19">
        <v>2</v>
      </c>
      <c r="F19">
        <v>2</v>
      </c>
      <c r="G19">
        <v>2</v>
      </c>
      <c r="H19">
        <v>2</v>
      </c>
    </row>
    <row r="20" spans="1:8" x14ac:dyDescent="0.35">
      <c r="A20" s="1" t="s">
        <v>20</v>
      </c>
      <c r="B20" s="2" t="s">
        <v>2</v>
      </c>
      <c r="C20">
        <v>2</v>
      </c>
      <c r="D20">
        <v>2</v>
      </c>
      <c r="E20">
        <v>2</v>
      </c>
      <c r="F20">
        <v>2</v>
      </c>
      <c r="G20">
        <v>2</v>
      </c>
      <c r="H20">
        <v>2</v>
      </c>
    </row>
    <row r="21" spans="1:8" x14ac:dyDescent="0.35">
      <c r="B21" s="2" t="s">
        <v>3</v>
      </c>
      <c r="C21">
        <v>2</v>
      </c>
      <c r="D21">
        <v>2</v>
      </c>
      <c r="E21">
        <v>1</v>
      </c>
      <c r="F21">
        <v>2</v>
      </c>
      <c r="G21">
        <v>1</v>
      </c>
      <c r="H21">
        <v>2</v>
      </c>
    </row>
    <row r="22" spans="1:8" s="3" customFormat="1" x14ac:dyDescent="0.35">
      <c r="B22" s="4"/>
      <c r="C22" s="4"/>
      <c r="D22" s="4"/>
      <c r="E22" s="4"/>
      <c r="F22" s="4"/>
      <c r="G22" s="4"/>
      <c r="H22" s="4"/>
    </row>
    <row r="23" spans="1:8" ht="29" x14ac:dyDescent="0.35">
      <c r="A23" s="1" t="s">
        <v>21</v>
      </c>
      <c r="B23" s="2" t="s">
        <v>23</v>
      </c>
      <c r="C23">
        <v>0</v>
      </c>
      <c r="D23">
        <v>0</v>
      </c>
      <c r="E23">
        <v>0</v>
      </c>
    </row>
    <row r="24" spans="1:8" x14ac:dyDescent="0.35">
      <c r="B24" s="2" t="s">
        <v>22</v>
      </c>
      <c r="C24">
        <v>1</v>
      </c>
      <c r="D24">
        <v>1</v>
      </c>
      <c r="E24">
        <v>1</v>
      </c>
      <c r="F24">
        <v>1</v>
      </c>
      <c r="G24">
        <v>1</v>
      </c>
      <c r="H24">
        <v>1</v>
      </c>
    </row>
    <row r="25" spans="1:8" x14ac:dyDescent="0.35">
      <c r="B25" s="2" t="s">
        <v>24</v>
      </c>
      <c r="C25">
        <v>1</v>
      </c>
      <c r="D25">
        <v>1</v>
      </c>
      <c r="E25">
        <v>1</v>
      </c>
      <c r="H25">
        <v>1</v>
      </c>
    </row>
    <row r="26" spans="1:8" x14ac:dyDescent="0.35">
      <c r="B26" s="2" t="s">
        <v>25</v>
      </c>
      <c r="C26">
        <v>1</v>
      </c>
      <c r="D26">
        <v>1</v>
      </c>
      <c r="E26">
        <v>1</v>
      </c>
      <c r="H26">
        <v>1</v>
      </c>
    </row>
    <row r="27" spans="1:8" x14ac:dyDescent="0.35">
      <c r="B27" s="2" t="s">
        <v>26</v>
      </c>
      <c r="C27">
        <v>1</v>
      </c>
      <c r="D27">
        <v>1</v>
      </c>
      <c r="E27">
        <v>1</v>
      </c>
      <c r="H27">
        <v>1</v>
      </c>
    </row>
    <row r="28" spans="1:8" x14ac:dyDescent="0.35">
      <c r="B28" s="2" t="s">
        <v>28</v>
      </c>
      <c r="D28">
        <v>1</v>
      </c>
      <c r="E28">
        <v>1</v>
      </c>
      <c r="H28">
        <v>1</v>
      </c>
    </row>
    <row r="29" spans="1:8" x14ac:dyDescent="0.35">
      <c r="B29" s="2" t="s">
        <v>29</v>
      </c>
      <c r="D29">
        <v>1</v>
      </c>
      <c r="E29">
        <v>1</v>
      </c>
    </row>
    <row r="30" spans="1:8" x14ac:dyDescent="0.35">
      <c r="B30" s="2" t="s">
        <v>27</v>
      </c>
      <c r="D30">
        <v>1</v>
      </c>
      <c r="E30">
        <v>1</v>
      </c>
    </row>
    <row r="31" spans="1:8" x14ac:dyDescent="0.35">
      <c r="B31" s="2" t="s">
        <v>31</v>
      </c>
      <c r="E31">
        <v>1</v>
      </c>
    </row>
    <row r="32" spans="1:8" x14ac:dyDescent="0.35">
      <c r="B32" s="2" t="s">
        <v>30</v>
      </c>
      <c r="E32">
        <v>1</v>
      </c>
    </row>
    <row r="33" spans="2:8" x14ac:dyDescent="0.35">
      <c r="B33" s="2" t="s">
        <v>32</v>
      </c>
      <c r="F33">
        <v>1</v>
      </c>
    </row>
    <row r="34" spans="2:8" x14ac:dyDescent="0.35">
      <c r="B34" s="2" t="s">
        <v>33</v>
      </c>
      <c r="F34">
        <v>1</v>
      </c>
    </row>
    <row r="35" spans="2:8" x14ac:dyDescent="0.35">
      <c r="B35" s="2" t="s">
        <v>34</v>
      </c>
      <c r="G35">
        <v>1</v>
      </c>
    </row>
    <row r="36" spans="2:8" ht="29" x14ac:dyDescent="0.35">
      <c r="B36" s="2" t="s">
        <v>36</v>
      </c>
      <c r="G36">
        <v>0</v>
      </c>
    </row>
    <row r="37" spans="2:8" x14ac:dyDescent="0.35">
      <c r="B37" s="2" t="s">
        <v>37</v>
      </c>
      <c r="G37">
        <v>0</v>
      </c>
    </row>
    <row r="38" spans="2:8" x14ac:dyDescent="0.35">
      <c r="B38" s="2" t="s">
        <v>38</v>
      </c>
      <c r="G38">
        <v>0</v>
      </c>
    </row>
    <row r="39" spans="2:8" x14ac:dyDescent="0.35">
      <c r="B39" s="2" t="s">
        <v>35</v>
      </c>
      <c r="G39">
        <v>0</v>
      </c>
    </row>
    <row r="40" spans="2:8" x14ac:dyDescent="0.35">
      <c r="B40" s="2" t="s">
        <v>40</v>
      </c>
      <c r="H40">
        <v>1</v>
      </c>
    </row>
    <row r="41" spans="2:8" x14ac:dyDescent="0.35">
      <c r="B41" s="2" t="s">
        <v>39</v>
      </c>
      <c r="H41">
        <v>1</v>
      </c>
    </row>
  </sheetData>
  <conditionalFormatting sqref="C10">
    <cfRule type="iconSet" priority="34">
      <iconSet iconSet="3Symbols">
        <cfvo type="percent" val="0"/>
        <cfvo type="percent" val="33"/>
        <cfvo type="percent" val="67"/>
      </iconSet>
    </cfRule>
  </conditionalFormatting>
  <conditionalFormatting sqref="C11">
    <cfRule type="iconSet" priority="32">
      <iconSet iconSet="3Symbols">
        <cfvo type="percent" val="0"/>
        <cfvo type="num" val="1"/>
        <cfvo type="num" val="2"/>
      </iconSet>
    </cfRule>
  </conditionalFormatting>
  <conditionalFormatting sqref="C23:C27 C11:C21">
    <cfRule type="iconSet" priority="35">
      <iconSet iconSet="3Symbols">
        <cfvo type="percent" val="0"/>
        <cfvo type="percent" val="33"/>
        <cfvo type="percent" val="67"/>
      </iconSet>
    </cfRule>
  </conditionalFormatting>
  <conditionalFormatting sqref="C23:H44 C10:H21">
    <cfRule type="iconSet" priority="6">
      <iconSet iconSet="3Symbols">
        <cfvo type="percent" val="0"/>
        <cfvo type="num" val="1"/>
        <cfvo type="num" val="2"/>
      </iconSet>
    </cfRule>
  </conditionalFormatting>
  <conditionalFormatting sqref="D10">
    <cfRule type="iconSet" priority="30">
      <iconSet iconSet="3Symbols">
        <cfvo type="percent" val="0"/>
        <cfvo type="percent" val="33"/>
        <cfvo type="percent" val="67"/>
      </iconSet>
    </cfRule>
  </conditionalFormatting>
  <conditionalFormatting sqref="D11">
    <cfRule type="iconSet" priority="29">
      <iconSet iconSet="3Symbols">
        <cfvo type="percent" val="0"/>
        <cfvo type="num" val="1"/>
        <cfvo type="num" val="2"/>
      </iconSet>
    </cfRule>
  </conditionalFormatting>
  <conditionalFormatting sqref="D11:D21">
    <cfRule type="iconSet" priority="38">
      <iconSet iconSet="3Symbols">
        <cfvo type="percent" val="0"/>
        <cfvo type="percent" val="33"/>
        <cfvo type="percent" val="67"/>
      </iconSet>
    </cfRule>
  </conditionalFormatting>
  <conditionalFormatting sqref="D23:D29">
    <cfRule type="iconSet" priority="28">
      <iconSet iconSet="3Symbols">
        <cfvo type="percent" val="0"/>
        <cfvo type="num" val="1"/>
        <cfvo type="num" val="2"/>
      </iconSet>
    </cfRule>
  </conditionalFormatting>
  <conditionalFormatting sqref="D30">
    <cfRule type="iconSet" priority="20">
      <iconSet iconSet="3Symbols">
        <cfvo type="percent" val="0"/>
        <cfvo type="num" val="1"/>
        <cfvo type="num" val="2"/>
      </iconSet>
    </cfRule>
  </conditionalFormatting>
  <conditionalFormatting sqref="E10">
    <cfRule type="iconSet" priority="25">
      <iconSet iconSet="3Symbols">
        <cfvo type="percent" val="0"/>
        <cfvo type="percent" val="33"/>
        <cfvo type="percent" val="67"/>
      </iconSet>
    </cfRule>
  </conditionalFormatting>
  <conditionalFormatting sqref="E11">
    <cfRule type="iconSet" priority="24">
      <iconSet iconSet="3Symbols">
        <cfvo type="percent" val="0"/>
        <cfvo type="num" val="1"/>
        <cfvo type="num" val="2"/>
      </iconSet>
    </cfRule>
  </conditionalFormatting>
  <conditionalFormatting sqref="E11:E20">
    <cfRule type="iconSet" priority="50">
      <iconSet iconSet="3Symbols">
        <cfvo type="percent" val="0"/>
        <cfvo type="percent" val="33"/>
        <cfvo type="percent" val="67"/>
      </iconSet>
    </cfRule>
  </conditionalFormatting>
  <conditionalFormatting sqref="E21">
    <cfRule type="iconSet" priority="22">
      <iconSet iconSet="3Symbols">
        <cfvo type="percent" val="0"/>
        <cfvo type="num" val="1"/>
        <cfvo type="num" val="2"/>
      </iconSet>
    </cfRule>
    <cfRule type="iconSet" priority="23">
      <iconSet iconSet="3Symbols">
        <cfvo type="percent" val="0"/>
        <cfvo type="percent" val="33"/>
        <cfvo type="percent" val="67"/>
      </iconSet>
    </cfRule>
  </conditionalFormatting>
  <conditionalFormatting sqref="E23:E29">
    <cfRule type="iconSet" priority="21">
      <iconSet iconSet="3Symbols">
        <cfvo type="percent" val="0"/>
        <cfvo type="num" val="1"/>
        <cfvo type="num" val="2"/>
      </iconSet>
    </cfRule>
  </conditionalFormatting>
  <conditionalFormatting sqref="E30:E32">
    <cfRule type="iconSet" priority="19">
      <iconSet iconSet="3Symbols">
        <cfvo type="percent" val="0"/>
        <cfvo type="num" val="1"/>
        <cfvo type="num" val="2"/>
      </iconSet>
    </cfRule>
  </conditionalFormatting>
  <conditionalFormatting sqref="F10">
    <cfRule type="iconSet" priority="17">
      <iconSet iconSet="3Symbols">
        <cfvo type="percent" val="0"/>
        <cfvo type="percent" val="33"/>
        <cfvo type="percent" val="67"/>
      </iconSet>
    </cfRule>
  </conditionalFormatting>
  <conditionalFormatting sqref="F11">
    <cfRule type="iconSet" priority="16">
      <iconSet iconSet="3Symbols">
        <cfvo type="percent" val="0"/>
        <cfvo type="num" val="1"/>
        <cfvo type="num" val="2"/>
      </iconSet>
    </cfRule>
  </conditionalFormatting>
  <conditionalFormatting sqref="F11:F20">
    <cfRule type="iconSet" priority="52">
      <iconSet iconSet="3Symbols">
        <cfvo type="percent" val="0"/>
        <cfvo type="percent" val="33"/>
        <cfvo type="percent" val="67"/>
      </iconSet>
    </cfRule>
  </conditionalFormatting>
  <conditionalFormatting sqref="F21">
    <cfRule type="iconSet" priority="14">
      <iconSet iconSet="3Symbols">
        <cfvo type="percent" val="0"/>
        <cfvo type="num" val="1"/>
        <cfvo type="num" val="2"/>
      </iconSet>
    </cfRule>
    <cfRule type="iconSet" priority="15">
      <iconSet iconSet="3Symbols">
        <cfvo type="percent" val="0"/>
        <cfvo type="percent" val="33"/>
        <cfvo type="percent" val="67"/>
      </iconSet>
    </cfRule>
  </conditionalFormatting>
  <conditionalFormatting sqref="F24">
    <cfRule type="iconSet" priority="13">
      <iconSet iconSet="3Symbols">
        <cfvo type="percent" val="0"/>
        <cfvo type="num" val="1"/>
        <cfvo type="num" val="2"/>
      </iconSet>
    </cfRule>
  </conditionalFormatting>
  <conditionalFormatting sqref="F33:F34">
    <cfRule type="iconSet" priority="12">
      <iconSet iconSet="3Symbols">
        <cfvo type="percent" val="0"/>
        <cfvo type="num" val="1"/>
        <cfvo type="num" val="2"/>
      </iconSet>
    </cfRule>
  </conditionalFormatting>
  <conditionalFormatting sqref="G10">
    <cfRule type="iconSet" priority="10">
      <iconSet iconSet="3Symbols">
        <cfvo type="percent" val="0"/>
        <cfvo type="percent" val="33"/>
        <cfvo type="percent" val="67"/>
      </iconSet>
    </cfRule>
  </conditionalFormatting>
  <conditionalFormatting sqref="G11">
    <cfRule type="iconSet" priority="9">
      <iconSet iconSet="3Symbols">
        <cfvo type="percent" val="0"/>
        <cfvo type="num" val="1"/>
        <cfvo type="num" val="2"/>
      </iconSet>
    </cfRule>
  </conditionalFormatting>
  <conditionalFormatting sqref="G11:G20">
    <cfRule type="iconSet" priority="54">
      <iconSet iconSet="3Symbols">
        <cfvo type="percent" val="0"/>
        <cfvo type="percent" val="33"/>
        <cfvo type="percent" val="67"/>
      </iconSet>
    </cfRule>
  </conditionalFormatting>
  <conditionalFormatting sqref="G21">
    <cfRule type="iconSet" priority="7">
      <iconSet iconSet="3Symbols">
        <cfvo type="percent" val="0"/>
        <cfvo type="num" val="1"/>
        <cfvo type="num" val="2"/>
      </iconSet>
    </cfRule>
    <cfRule type="iconSet" priority="8">
      <iconSet iconSet="3Symbols">
        <cfvo type="percent" val="0"/>
        <cfvo type="percent" val="33"/>
        <cfvo type="percent" val="67"/>
      </iconSet>
    </cfRule>
  </conditionalFormatting>
  <conditionalFormatting sqref="H10">
    <cfRule type="iconSet" priority="4">
      <iconSet iconSet="3Symbols">
        <cfvo type="percent" val="0"/>
        <cfvo type="percent" val="33"/>
        <cfvo type="percent" val="67"/>
      </iconSet>
    </cfRule>
  </conditionalFormatting>
  <conditionalFormatting sqref="H11">
    <cfRule type="iconSet" priority="3">
      <iconSet iconSet="3Symbols">
        <cfvo type="percent" val="0"/>
        <cfvo type="num" val="1"/>
        <cfvo type="num" val="2"/>
      </iconSet>
    </cfRule>
  </conditionalFormatting>
  <conditionalFormatting sqref="H11:H20">
    <cfRule type="iconSet" priority="58">
      <iconSet iconSet="3Symbols">
        <cfvo type="percent" val="0"/>
        <cfvo type="percent" val="33"/>
        <cfvo type="percent" val="67"/>
      </iconSet>
    </cfRule>
  </conditionalFormatting>
  <conditionalFormatting sqref="H21">
    <cfRule type="iconSet" priority="2">
      <iconSet iconSet="3Symbols">
        <cfvo type="percent" val="0"/>
        <cfvo type="percent" val="33"/>
        <cfvo type="percent" val="67"/>
      </iconSet>
    </cfRule>
    <cfRule type="iconSet" priority="1">
      <iconSet iconSet="3Symbols">
        <cfvo type="percent" val="0"/>
        <cfvo type="num" val="1"/>
        <cfvo type="num" val="2"/>
      </iconSet>
    </cfRule>
  </conditionalFormatting>
  <conditionalFormatting sqref="I22:J22 H10:J21 E41:J48 F23:J23 F25:J32 G24:J24 E33:E34 G33:J34 E35:F40 H35:J40">
    <cfRule type="iconSet" priority="27">
      <iconSet>
        <cfvo type="percent" val="0"/>
        <cfvo type="num" val="1"/>
        <cfvo type="num" val="2"/>
      </iconSet>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A0D0-2E2C-4702-9D7C-09A8D0E0367E}">
  <dimension ref="A1:W39"/>
  <sheetViews>
    <sheetView zoomScale="81" workbookViewId="0">
      <selection activeCell="C7" sqref="C7"/>
    </sheetView>
  </sheetViews>
  <sheetFormatPr defaultRowHeight="14.5" x14ac:dyDescent="0.35"/>
  <cols>
    <col min="1" max="1" width="28" customWidth="1"/>
    <col min="2" max="2" width="28.81640625" style="2" customWidth="1"/>
    <col min="3" max="8" width="15.453125" customWidth="1"/>
    <col min="10" max="10" width="12.54296875" customWidth="1"/>
    <col min="17" max="17" width="13.453125" customWidth="1"/>
  </cols>
  <sheetData>
    <row r="1" spans="1:23" x14ac:dyDescent="0.35">
      <c r="A1" s="1" t="s">
        <v>352</v>
      </c>
      <c r="C1">
        <f xml:space="preserve"> SUM(C3:C4) / (C3+ C4+ C7) * 100</f>
        <v>100</v>
      </c>
      <c r="D1">
        <f t="shared" ref="D1:H1" si="0" xml:space="preserve"> SUM(D3:D4) / (D3+ D4+ D7) * 100</f>
        <v>83.333333333333343</v>
      </c>
      <c r="E1">
        <f t="shared" si="0"/>
        <v>100</v>
      </c>
      <c r="F1">
        <f t="shared" si="0"/>
        <v>83.333333333333343</v>
      </c>
      <c r="G1">
        <f t="shared" si="0"/>
        <v>83.333333333333343</v>
      </c>
      <c r="H1">
        <f t="shared" si="0"/>
        <v>90.909090909090907</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100</v>
      </c>
      <c r="D2">
        <f t="shared" ref="D2:H2" si="1" xml:space="preserve"> SUM(D3:D4) / SUM(D3:D5) *100</f>
        <v>100</v>
      </c>
      <c r="E2">
        <f t="shared" si="1"/>
        <v>100</v>
      </c>
      <c r="F2">
        <f t="shared" si="1"/>
        <v>100</v>
      </c>
      <c r="G2">
        <f t="shared" si="1"/>
        <v>100</v>
      </c>
      <c r="H2">
        <f t="shared" si="1"/>
        <v>100</v>
      </c>
      <c r="J2" s="1" t="s">
        <v>13</v>
      </c>
      <c r="K2" s="10"/>
      <c r="L2" s="10"/>
      <c r="M2" s="10"/>
      <c r="Q2" s="1" t="s">
        <v>13</v>
      </c>
      <c r="R2" s="10"/>
      <c r="S2" s="10"/>
      <c r="T2" s="10"/>
    </row>
    <row r="3" spans="1:23" x14ac:dyDescent="0.35">
      <c r="A3" s="1" t="s">
        <v>242</v>
      </c>
      <c r="C3" s="2">
        <f>COUNTIF(C10:C19, 2)</f>
        <v>10</v>
      </c>
      <c r="D3" s="2">
        <f t="shared" ref="D3:H3" si="2">COUNTIF(D10:D19, 2)</f>
        <v>10</v>
      </c>
      <c r="E3" s="2">
        <f t="shared" si="2"/>
        <v>10</v>
      </c>
      <c r="F3" s="2">
        <f t="shared" si="2"/>
        <v>8</v>
      </c>
      <c r="G3" s="2">
        <f t="shared" si="2"/>
        <v>9</v>
      </c>
      <c r="H3" s="2">
        <f t="shared" si="2"/>
        <v>10</v>
      </c>
      <c r="J3" s="1" t="s">
        <v>14</v>
      </c>
      <c r="K3" s="10" cm="1">
        <f t="array" ref="K3">IFERROR(SUMPRODUCT((C10:C100&lt;&gt;"")*(D10:D100&lt;&gt;"")*(C10:C100=D10:D100))/SUMPRODUCT(--((C10:C100&lt;&gt;"")+(D10:D100&lt;&gt;"")&gt;0)),"")</f>
        <v>0.8</v>
      </c>
      <c r="L3" s="10"/>
      <c r="M3" s="10"/>
      <c r="Q3" s="1" t="s">
        <v>14</v>
      </c>
      <c r="R3" s="10" cm="1">
        <f t="array" ref="R3">IFERROR(
   SUMPRODUCT((C10:C100&lt;&gt;"")*(D10:D100&lt;&gt;"")*
   ((C10:C100=D10:D100)+((C10:C100=1)*(D10:D100=2))+((C10:C100=2)*(D10:D100=1))))
   /
   SUMPRODUCT(--((C10:C100&lt;&gt;"")+(D10:D100&lt;&gt;"")&gt;0)),
"")</f>
        <v>0.8</v>
      </c>
      <c r="S3" s="10"/>
      <c r="T3" s="10"/>
    </row>
    <row r="4" spans="1:23" x14ac:dyDescent="0.35">
      <c r="A4" s="1" t="s">
        <v>243</v>
      </c>
      <c r="C4">
        <f>COUNTIF(C10:C19, 1)</f>
        <v>0</v>
      </c>
      <c r="D4">
        <f t="shared" ref="D4:H4" si="3">COUNTIF(D10:D19, 1)</f>
        <v>0</v>
      </c>
      <c r="E4">
        <f t="shared" si="3"/>
        <v>0</v>
      </c>
      <c r="F4">
        <f t="shared" si="3"/>
        <v>2</v>
      </c>
      <c r="G4">
        <f t="shared" si="3"/>
        <v>1</v>
      </c>
      <c r="H4">
        <f t="shared" si="3"/>
        <v>0</v>
      </c>
      <c r="J4" s="1" t="s">
        <v>15</v>
      </c>
      <c r="K4" s="10" cm="1">
        <f t="array" ref="K4">IFERROR(SUMPRODUCT((C10:C100&lt;&gt;"")*(E10:E100&lt;&gt;"")*(C10:C100=E10:E100))/SUMPRODUCT(--((C10:C100&lt;&gt;"")+(E10:E100&lt;&gt;"")&gt;0)),"")</f>
        <v>1</v>
      </c>
      <c r="L4" s="10" cm="1">
        <f t="array" ref="L4">IFERROR(SUMPRODUCT((E10:E100&lt;&gt;"")*(D10:D100&lt;&gt;"")*(E10:E100=D10:D100))/SUMPRODUCT(--((E10:E100&lt;&gt;"")+(D10:D100&lt;&gt;"")&gt;0)),"")</f>
        <v>0.8</v>
      </c>
      <c r="M4" s="10"/>
      <c r="Q4" s="1" t="s">
        <v>15</v>
      </c>
      <c r="R4" s="10" cm="1">
        <f t="array" ref="R4">IFERROR(
   SUMPRODUCT((C10:C100&lt;&gt;"")*(E10:E100&lt;&gt;"")*
   ((C10:C100=E10:E100)+((C10:C100=1)*(E10:E100=2))+((C10:C100=2)*(E10:E100=1))))
   /
   SUMPRODUCT(--((C10:C100&lt;&gt;"")+(E10:E100&lt;&gt;"")&gt;0)),
"")</f>
        <v>1</v>
      </c>
      <c r="S4" s="10" cm="1">
        <f t="array" ref="S4">IFERROR(
   SUMPRODUCT((E10:E100&lt;&gt;"")*(D10:D100&lt;&gt;"")*
   ((E10:E100=D10:D100)+((E10:E100=1)*(D10:D100=2))+((E10:E100=2)*(D10:D100=1))))
   /
   SUMPRODUCT(--((E10:E100&lt;&gt;"")+(D10:D100&lt;&gt;"")&gt;0)),
"")</f>
        <v>0.8</v>
      </c>
      <c r="T4" s="10"/>
    </row>
    <row r="5" spans="1:23" x14ac:dyDescent="0.35">
      <c r="A5" s="1" t="s">
        <v>244</v>
      </c>
      <c r="C5">
        <f>COUNTIF(C10:C19, 0)</f>
        <v>0</v>
      </c>
      <c r="D5">
        <f t="shared" ref="D5:H5" si="4">COUNTIF(D10:D19, 0)</f>
        <v>0</v>
      </c>
      <c r="E5">
        <f t="shared" si="4"/>
        <v>0</v>
      </c>
      <c r="F5">
        <f t="shared" si="4"/>
        <v>0</v>
      </c>
      <c r="G5">
        <f t="shared" si="4"/>
        <v>0</v>
      </c>
      <c r="H5">
        <f t="shared" si="4"/>
        <v>0</v>
      </c>
      <c r="J5" s="1" t="s">
        <v>16</v>
      </c>
      <c r="K5" s="11" cm="1">
        <f t="array" ref="K5">IFERROR(SUMPRODUCT((C10:C100&lt;&gt;"")*(F10:F100&lt;&gt;"")*(C10:C100=F10:F100))/SUMPRODUCT(--((C10:C100&lt;&gt;"")+(F10:F100&lt;&gt;"")&gt;0)),"")</f>
        <v>0.53333333333333333</v>
      </c>
      <c r="L5" s="11" cm="1">
        <f t="array" ref="L5">IFERROR(SUMPRODUCT((F10:F100&lt;&gt;"")*(D10:D100&lt;&gt;"")*(F10:F100=D10:D100))/SUMPRODUCT(--((F10:F100&lt;&gt;"")+(D10:D100&lt;&gt;"")&gt;0)),"")</f>
        <v>0.7142857142857143</v>
      </c>
      <c r="M5" s="11" cm="1">
        <f t="array" ref="M5">IFERROR(SUMPRODUCT((F10:F100&lt;&gt;"")*(E10:E100&lt;&gt;"")*(F10:F100=E10:E100))/SUMPRODUCT(--((F10:F100&lt;&gt;"")+(E10:E100&lt;&gt;"")&gt;0)),"")</f>
        <v>0.53333333333333333</v>
      </c>
      <c r="N5" s="10"/>
      <c r="O5" s="10"/>
      <c r="Q5" s="1" t="s">
        <v>16</v>
      </c>
      <c r="R5" s="11" cm="1">
        <f t="array" ref="R5">IFERROR(
   SUMPRODUCT((C10:C100&lt;&gt;"")*(F10:F100&lt;&gt;"")*
   ((C10:C100=F10:F100)+((C10:C100=1)*(F10:F100=2))+((C10:C100=2)*(F10:F100=1))))
   /
   SUMPRODUCT(--((C10:C100&lt;&gt;"")+(F10:F100&lt;&gt;"")&gt;0)),
"")</f>
        <v>0.66666666666666663</v>
      </c>
      <c r="S5" s="11" cm="1">
        <f t="array" ref="S5">IFERROR(
   SUMPRODUCT((F10:F100&lt;&gt;"")*(D10:D100&lt;&gt;"")*
   ((F10:F100=D10:D100)+((F10:F100=1)*(D10:D100=2))+((F10:F100=2)*(D10:D100=1))))
   /
   SUMPRODUCT(--((F10:F100&lt;&gt;"")+(D10:D100&lt;&gt;"")&gt;0)),
"")</f>
        <v>0.8571428571428571</v>
      </c>
      <c r="T5" s="11" cm="1">
        <f t="array" ref="T5">IFERROR(
   SUMPRODUCT((F10:F100&lt;&gt;"")*(E10:E100&lt;&gt;"")*
   ((F10:F100=E10:E100)+((F10:F100=1)*(E10:E100=2))+((F10:F100=2)*(E10:E100=1))))
   /
   SUMPRODUCT(--((F10:F100&lt;&gt;"")+(E10:E100&lt;&gt;"")&gt;0)),
"")</f>
        <v>0.66666666666666663</v>
      </c>
      <c r="U5" s="10"/>
      <c r="V5" s="10"/>
    </row>
    <row r="6" spans="1:23" x14ac:dyDescent="0.35">
      <c r="A6" s="1" t="s">
        <v>245</v>
      </c>
      <c r="C6">
        <f>COUNTIF(C21:C41,0) + COUNTIF(C21:C41,1)</f>
        <v>3</v>
      </c>
      <c r="D6">
        <f>COUNTIF(D21:D41,0) + COUNTIF(D21:D41,1)</f>
        <v>4</v>
      </c>
      <c r="E6">
        <f t="shared" ref="E6:H6" si="5">COUNTIF(E21:E41,0) + COUNTIF(E21:E41,1)</f>
        <v>3</v>
      </c>
      <c r="F6">
        <f t="shared" si="5"/>
        <v>2</v>
      </c>
      <c r="G6">
        <f t="shared" si="5"/>
        <v>3</v>
      </c>
      <c r="H6">
        <f t="shared" si="5"/>
        <v>2</v>
      </c>
      <c r="J6" s="1" t="s">
        <v>17</v>
      </c>
      <c r="K6" s="11" cm="1">
        <f t="array" ref="K6">IFERROR(SUMPRODUCT((C10:C100&lt;&gt;"")*(G10:G100&lt;&gt;"")*(C10:C100=G10:G100))/SUMPRODUCT(--((C10:C100&lt;&gt;"")+(G10:G100&lt;&gt;"")&gt;0)),"")</f>
        <v>0.5625</v>
      </c>
      <c r="L6" s="11" cm="1">
        <f t="array" ref="L6">SUMPRODUCT((D10:D100&lt;&gt;0)*(G10:G100&lt;&gt;0)) / SUMPRODUCT(((D10:D100&lt;&gt;0)+(G10:G100&lt;&gt;0)&gt;0)*1)</f>
        <v>0.76923076923076927</v>
      </c>
      <c r="M6" s="11" cm="1">
        <f t="array" ref="M6">IFERROR(SUMPRODUCT((G10:G100&lt;&gt;"")*(E10:E100&lt;&gt;"")*(G10:G100=E10:E100))/SUMPRODUCT(--((G10:G100&lt;&gt;"")+(E10:E100&lt;&gt;"")&gt;0)),"")</f>
        <v>0.5625</v>
      </c>
      <c r="N6" s="10" cm="1">
        <f t="array" ref="N6">IFERROR(SUMPRODUCT((G10:G100&lt;&gt;"")*(F10:F100&lt;&gt;"")*(G10:G100=F10:F100))/SUMPRODUCT(--((G10:G100&lt;&gt;"")+(F10:F100&lt;&gt;"")&gt;0)),"")</f>
        <v>0.84615384615384615</v>
      </c>
      <c r="O6" s="10"/>
      <c r="Q6" s="1" t="s">
        <v>17</v>
      </c>
      <c r="R6" s="11" cm="1">
        <f t="array" ref="R6">IFERROR(
   SUMPRODUCT((C10:C100&lt;&gt;"")*(G10:G100&lt;&gt;"")*
   ((C10:C100=G10:G100)+((C10:C100=1)*(G10:G100=2))+((C10:C100=2)*(G10:G100=1))))
   /
   SUMPRODUCT(--((C10:C100&lt;&gt;"")+(G10:G100&lt;&gt;"")&gt;0)),
"")</f>
        <v>0.625</v>
      </c>
      <c r="S6" s="11" cm="1">
        <f t="array" ref="S6">IFERROR(
   SUMPRODUCT((D10:D100&lt;&gt;"")*(G10:G100&lt;&gt;"")*
   ((D10:D100=G10:G100)+((D10:D100=1)*(G10:G100=2))+((D10:D100=2)*(G10:G100=1))))
   /
   SUMPRODUCT(--((D10:D100&lt;&gt;"")+(G10:G100&lt;&gt;"")&gt;0)),
"")</f>
        <v>0.8</v>
      </c>
      <c r="T6" s="11" cm="1">
        <f t="array" ref="T6">IFERROR(
   SUMPRODUCT((G10:G100&lt;&gt;"")*(E10:E100&lt;&gt;"")*
   ((G10:G100=E10:E100)+((G10:G100=1)*(E10:E100=2))+((G10:G100=2)*(E10:E100=1))))
   /
   SUMPRODUCT(--((G10:G100&lt;&gt;"")+(E10:E100&lt;&gt;"")&gt;0)),
"")</f>
        <v>0.625</v>
      </c>
      <c r="U6" s="10" cm="1">
        <f t="array" ref="U6">IFERROR(
   SUMPRODUCT((F10:F100&lt;&gt;"")*(G10:G100&lt;&gt;"")*
   ((F10:F100=G10:G100)+((F10:F100=1)*(G10:G100=2))+((F10:F100=2)*(G10:G100=1))))
   /
   SUMPRODUCT(--((F10:F100&lt;&gt;"")+(G10:G100&lt;&gt;"")&gt;0)),
"")</f>
        <v>0.92307692307692313</v>
      </c>
      <c r="V6" s="10"/>
    </row>
    <row r="7" spans="1:23" x14ac:dyDescent="0.35">
      <c r="A7" s="1" t="s">
        <v>246</v>
      </c>
      <c r="C7">
        <f>COUNTIF(C21:C41,0)</f>
        <v>0</v>
      </c>
      <c r="D7">
        <f t="shared" ref="D7:H7" si="6">COUNTIF(D21:D41,0)</f>
        <v>2</v>
      </c>
      <c r="E7">
        <f t="shared" si="6"/>
        <v>0</v>
      </c>
      <c r="F7">
        <f t="shared" si="6"/>
        <v>2</v>
      </c>
      <c r="G7">
        <f t="shared" si="6"/>
        <v>2</v>
      </c>
      <c r="H7">
        <f t="shared" si="6"/>
        <v>1</v>
      </c>
      <c r="J7" s="1" t="s">
        <v>18</v>
      </c>
      <c r="K7" s="11" cm="1">
        <f t="array" ref="K7">IFERROR(SUMPRODUCT((C10:C100&lt;&gt;"")*(H10:H100&lt;&gt;"")*(C10:C100=H10:H100))/SUMPRODUCT(--((C10:C100&lt;&gt;"")+(H10:H100&lt;&gt;"")&gt;0)),"")</f>
        <v>0.7142857142857143</v>
      </c>
      <c r="L7" s="11" cm="1">
        <f t="array" ref="L7">IFERROR(SUMPRODUCT((H10:H100&lt;&gt;"")*(D10:D100&lt;&gt;"")*(H10:H100=D10:D100))/SUMPRODUCT(--((H10:H100&lt;&gt;"")+(D10:D100&lt;&gt;"")&gt;0)),"")</f>
        <v>0.66666666666666663</v>
      </c>
      <c r="M7" s="11" cm="1">
        <f t="array" ref="M7">IFERROR(SUMPRODUCT((H10:H100&lt;&gt;"")*(E10:E100&lt;&gt;"")*(H10:H100=E10:E100))/SUMPRODUCT(--((H10:H100&lt;&gt;"")+(E10:E100&lt;&gt;"")&gt;0)),"")</f>
        <v>0.7142857142857143</v>
      </c>
      <c r="N7" s="10" cm="1">
        <f t="array" ref="N7">IFERROR(SUMPRODUCT((F10:F100&lt;&gt;"")*(H10:H100&lt;&gt;"")*(F10:F100=H10:H100))/SUMPRODUCT(--((F10:F100&lt;&gt;"")+(H10:H100&lt;&gt;"")&gt;0)),"")</f>
        <v>0.5714285714285714</v>
      </c>
      <c r="O7" s="10" cm="1">
        <f t="array" ref="O7">IFERROR(SUMPRODUCT((G10:G100&lt;&gt;"")*(H10:H100&lt;&gt;"")*(G10:G100=H10:H100))/SUMPRODUCT(--((G10:G100&lt;&gt;"")+(H10:H100&lt;&gt;"")&gt;0)),"")</f>
        <v>0.7142857142857143</v>
      </c>
      <c r="Q7" s="1" t="s">
        <v>18</v>
      </c>
      <c r="R7" s="11" cm="1">
        <f t="array" ref="R7">IFERROR(
   SUMPRODUCT((C10:C100&lt;&gt;"")*(H10:H100&lt;&gt;"")*
   ((C10:C100=H10:H100)+((C10:C100=1)*(H10:H100=2))+((C10:C100=2)*(H10:H100=1))))
   /
   SUMPRODUCT(--((C10:C100&lt;&gt;"")+(H10:H100&lt;&gt;"")&gt;0)),
"")</f>
        <v>0.7142857142857143</v>
      </c>
      <c r="S7" s="11" cm="1">
        <f t="array" ref="S7">IFERROR(
   SUMPRODUCT((H10:H100&lt;&gt;"")*(D10:D100&lt;&gt;"")*
   ((H10:H100=D10:D100)+((H10:H100=1)*(D10:D100=2))+((H10:H100=2)*(D10:D100=1))))
   /
   SUMPRODUCT(--((H10:H100&lt;&gt;"")+(D10:D100&lt;&gt;"")&gt;0)),
"")</f>
        <v>0.66666666666666663</v>
      </c>
      <c r="T7" s="11" cm="1">
        <f t="array" ref="T7">IFERROR(
   SUMPRODUCT((H10:H100&lt;&gt;"")*(E10:E100&lt;&gt;"")*
   ((H10:H100=E10:E100)+((H10:H100=1)*(E10:E100=2))+((H10:H100=2)*(E10:E100=1))))
   /
   SUMPRODUCT(--((H10:H100&lt;&gt;"")+(E10:E100&lt;&gt;"")&gt;0)),
"")</f>
        <v>0.7142857142857143</v>
      </c>
      <c r="U7" s="10" cm="1">
        <f t="array" ref="U7">IFERROR(
   SUMPRODUCT((F10:F100&lt;&gt;"")*(H10:H100&lt;&gt;"")*
   ((F10:F100=H10:H100)+((F10:F100=1)*(H10:H100=2))+((F10:F100=2)*(H10:H100=1))))
   /
   SUMPRODUCT(--((F10:F100&lt;&gt;"")+(H10:H100&lt;&gt;"")&gt;0)),
"")</f>
        <v>0.7142857142857143</v>
      </c>
      <c r="V7" s="10" cm="1">
        <f t="array" ref="V7">IFERROR(
   SUMPRODUCT((H10:H100&lt;&gt;"")*(G10:G100&lt;&gt;"")*
   ((H10:H100=G10:G100)+((H10:H100=1)*(G10:G100=2))+((H10:H100=2)*(G10:G100=1))))
   /
   SUMPRODUCT(--((H10:H100&lt;&gt;"")+(G10:G100&lt;&gt;"")&gt;0)),
"")</f>
        <v>0.7857142857142857</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5</v>
      </c>
      <c r="B10" s="2" t="s">
        <v>41</v>
      </c>
      <c r="C10">
        <v>2</v>
      </c>
      <c r="D10">
        <v>2</v>
      </c>
      <c r="E10">
        <v>2</v>
      </c>
      <c r="F10">
        <v>2</v>
      </c>
      <c r="G10">
        <v>2</v>
      </c>
      <c r="H10">
        <v>2</v>
      </c>
    </row>
    <row r="11" spans="1:23" x14ac:dyDescent="0.35">
      <c r="A11" s="1"/>
      <c r="B11" s="2" t="s">
        <v>42</v>
      </c>
      <c r="C11">
        <v>2</v>
      </c>
      <c r="D11">
        <v>2</v>
      </c>
      <c r="E11">
        <v>2</v>
      </c>
      <c r="F11">
        <v>2</v>
      </c>
      <c r="G11">
        <v>2</v>
      </c>
      <c r="H11">
        <v>2</v>
      </c>
    </row>
    <row r="12" spans="1:23" x14ac:dyDescent="0.35">
      <c r="A12" s="1" t="s">
        <v>6</v>
      </c>
      <c r="B12" t="s">
        <v>44</v>
      </c>
      <c r="C12">
        <v>2</v>
      </c>
      <c r="D12">
        <v>2</v>
      </c>
      <c r="E12">
        <v>2</v>
      </c>
      <c r="F12">
        <v>2</v>
      </c>
      <c r="G12">
        <v>2</v>
      </c>
      <c r="H12">
        <v>2</v>
      </c>
    </row>
    <row r="13" spans="1:23" x14ac:dyDescent="0.35">
      <c r="A13" s="1"/>
      <c r="B13" t="s">
        <v>45</v>
      </c>
      <c r="C13">
        <v>2</v>
      </c>
      <c r="D13">
        <v>2</v>
      </c>
      <c r="E13">
        <v>2</v>
      </c>
      <c r="F13">
        <v>2</v>
      </c>
      <c r="G13">
        <v>2</v>
      </c>
      <c r="H13">
        <v>2</v>
      </c>
    </row>
    <row r="14" spans="1:23" x14ac:dyDescent="0.35">
      <c r="A14" s="1"/>
      <c r="B14" t="s">
        <v>46</v>
      </c>
      <c r="C14">
        <v>2</v>
      </c>
      <c r="D14">
        <v>2</v>
      </c>
      <c r="E14">
        <v>2</v>
      </c>
      <c r="F14">
        <v>2</v>
      </c>
      <c r="G14">
        <v>2</v>
      </c>
      <c r="H14">
        <v>2</v>
      </c>
    </row>
    <row r="15" spans="1:23" ht="15.75" customHeight="1" x14ac:dyDescent="0.35">
      <c r="A15" s="1"/>
      <c r="B15" t="s">
        <v>47</v>
      </c>
      <c r="C15">
        <v>2</v>
      </c>
      <c r="D15">
        <v>2</v>
      </c>
      <c r="E15">
        <v>2</v>
      </c>
      <c r="F15">
        <v>2</v>
      </c>
      <c r="G15">
        <v>2</v>
      </c>
      <c r="H15">
        <v>2</v>
      </c>
    </row>
    <row r="16" spans="1:23" x14ac:dyDescent="0.35">
      <c r="A16" s="1" t="s">
        <v>19</v>
      </c>
      <c r="B16" t="s">
        <v>471</v>
      </c>
      <c r="C16">
        <v>2</v>
      </c>
      <c r="D16">
        <v>2</v>
      </c>
      <c r="E16">
        <v>2</v>
      </c>
      <c r="F16">
        <v>2</v>
      </c>
      <c r="G16">
        <v>2</v>
      </c>
      <c r="H16">
        <v>2</v>
      </c>
    </row>
    <row r="17" spans="1:9" x14ac:dyDescent="0.35">
      <c r="A17" s="1" t="s">
        <v>20</v>
      </c>
      <c r="B17" t="s">
        <v>48</v>
      </c>
      <c r="C17">
        <v>2</v>
      </c>
      <c r="D17">
        <v>2</v>
      </c>
      <c r="E17">
        <v>2</v>
      </c>
      <c r="F17">
        <v>2</v>
      </c>
      <c r="G17">
        <v>2</v>
      </c>
      <c r="H17">
        <v>2</v>
      </c>
    </row>
    <row r="18" spans="1:9" x14ac:dyDescent="0.35">
      <c r="A18" s="1"/>
      <c r="B18" t="s">
        <v>49</v>
      </c>
      <c r="C18">
        <v>2</v>
      </c>
      <c r="D18">
        <v>2</v>
      </c>
      <c r="E18">
        <v>2</v>
      </c>
      <c r="F18">
        <v>1</v>
      </c>
      <c r="G18">
        <v>2</v>
      </c>
      <c r="H18">
        <v>2</v>
      </c>
    </row>
    <row r="19" spans="1:9" x14ac:dyDescent="0.35">
      <c r="B19" t="s">
        <v>50</v>
      </c>
      <c r="C19">
        <v>2</v>
      </c>
      <c r="D19">
        <v>2</v>
      </c>
      <c r="E19">
        <v>2</v>
      </c>
      <c r="F19">
        <v>1</v>
      </c>
      <c r="G19">
        <v>1</v>
      </c>
      <c r="H19">
        <v>2</v>
      </c>
    </row>
    <row r="20" spans="1:9" s="3" customFormat="1" x14ac:dyDescent="0.35">
      <c r="B20" s="4"/>
      <c r="F20" s="4"/>
      <c r="G20" s="4"/>
      <c r="H20" s="4"/>
      <c r="I20" s="4"/>
    </row>
    <row r="21" spans="1:9" x14ac:dyDescent="0.35">
      <c r="A21" s="1" t="s">
        <v>21</v>
      </c>
      <c r="B21" t="s">
        <v>51</v>
      </c>
      <c r="D21">
        <v>0</v>
      </c>
      <c r="F21">
        <v>0</v>
      </c>
      <c r="G21">
        <v>0</v>
      </c>
    </row>
    <row r="22" spans="1:9" x14ac:dyDescent="0.35">
      <c r="B22" t="s">
        <v>55</v>
      </c>
      <c r="D22">
        <v>0</v>
      </c>
      <c r="F22">
        <v>0</v>
      </c>
      <c r="G22">
        <v>0</v>
      </c>
    </row>
    <row r="23" spans="1:9" ht="29" x14ac:dyDescent="0.35">
      <c r="B23" s="2" t="s">
        <v>52</v>
      </c>
      <c r="G23">
        <v>1</v>
      </c>
      <c r="H23">
        <v>1</v>
      </c>
    </row>
    <row r="24" spans="1:9" x14ac:dyDescent="0.35">
      <c r="B24" t="s">
        <v>53</v>
      </c>
      <c r="C24">
        <v>1</v>
      </c>
      <c r="D24">
        <v>1</v>
      </c>
      <c r="E24">
        <v>1</v>
      </c>
      <c r="H24">
        <v>0</v>
      </c>
    </row>
    <row r="25" spans="1:9" x14ac:dyDescent="0.35">
      <c r="B25" t="s">
        <v>54</v>
      </c>
    </row>
    <row r="26" spans="1:9" x14ac:dyDescent="0.35">
      <c r="B26" s="2" t="s">
        <v>57</v>
      </c>
      <c r="C26">
        <v>1</v>
      </c>
      <c r="E26">
        <v>1</v>
      </c>
    </row>
    <row r="27" spans="1:9" x14ac:dyDescent="0.35">
      <c r="B27" t="s">
        <v>56</v>
      </c>
      <c r="C27">
        <v>1</v>
      </c>
      <c r="D27">
        <v>1</v>
      </c>
      <c r="E27">
        <v>1</v>
      </c>
    </row>
    <row r="28" spans="1:9" x14ac:dyDescent="0.35">
      <c r="B28"/>
    </row>
    <row r="29" spans="1:9" x14ac:dyDescent="0.35">
      <c r="B29"/>
    </row>
    <row r="30" spans="1:9" x14ac:dyDescent="0.35">
      <c r="B30"/>
    </row>
    <row r="31" spans="1:9" x14ac:dyDescent="0.35">
      <c r="B31"/>
    </row>
    <row r="32" spans="1:9"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sheetData>
  <conditionalFormatting sqref="C10:C19">
    <cfRule type="iconSet" priority="7">
      <iconSet iconSet="3Symbols">
        <cfvo type="percent" val="0"/>
        <cfvo type="percent" val="33"/>
        <cfvo type="percent" val="67"/>
      </iconSet>
    </cfRule>
    <cfRule type="iconSet" priority="8">
      <iconSet iconSet="3Symbols">
        <cfvo type="percent" val="0"/>
        <cfvo type="num" val="1"/>
        <cfvo type="num" val="2"/>
      </iconSet>
    </cfRule>
  </conditionalFormatting>
  <conditionalFormatting sqref="C21:E26">
    <cfRule type="iconSet" priority="5">
      <iconSet iconSet="3Symbols">
        <cfvo type="percent" val="0"/>
        <cfvo type="num" val="1"/>
        <cfvo type="num" val="2"/>
      </iconSet>
    </cfRule>
    <cfRule type="iconSet" priority="6">
      <iconSet iconSet="3Symbols">
        <cfvo type="percent" val="0"/>
        <cfvo type="percent" val="33"/>
        <cfvo type="percent" val="67"/>
      </iconSet>
    </cfRule>
  </conditionalFormatting>
  <conditionalFormatting sqref="C27:H42 F21:H26">
    <cfRule type="iconSet" priority="11">
      <iconSet iconSet="3Symbols">
        <cfvo type="percent" val="0"/>
        <cfvo type="num" val="1"/>
        <cfvo type="num" val="2"/>
      </iconSet>
    </cfRule>
    <cfRule type="iconSet" priority="12">
      <iconSet iconSet="3Symbols">
        <cfvo type="percent" val="0"/>
        <cfvo type="percent" val="33"/>
        <cfvo type="percent" val="67"/>
      </iconSet>
    </cfRule>
  </conditionalFormatting>
  <conditionalFormatting sqref="D10:D19">
    <cfRule type="iconSet" priority="3">
      <iconSet iconSet="3Symbols">
        <cfvo type="percent" val="0"/>
        <cfvo type="percent" val="33"/>
        <cfvo type="percent" val="67"/>
      </iconSet>
    </cfRule>
    <cfRule type="iconSet" priority="4">
      <iconSet iconSet="3Symbols">
        <cfvo type="percent" val="0"/>
        <cfvo type="num" val="1"/>
        <cfvo type="num" val="2"/>
      </iconSet>
    </cfRule>
  </conditionalFormatting>
  <conditionalFormatting sqref="E10:E19">
    <cfRule type="iconSet" priority="1">
      <iconSet iconSet="3Symbols">
        <cfvo type="percent" val="0"/>
        <cfvo type="percent" val="33"/>
        <cfvo type="percent" val="67"/>
      </iconSet>
    </cfRule>
    <cfRule type="iconSet" priority="2">
      <iconSet iconSet="3Symbols">
        <cfvo type="percent" val="0"/>
        <cfvo type="num" val="1"/>
        <cfvo type="num" val="2"/>
      </iconSet>
    </cfRule>
  </conditionalFormatting>
  <conditionalFormatting sqref="E43:J46 I10:J19 J20 I21:J42">
    <cfRule type="iconSet" priority="41">
      <iconSet>
        <cfvo type="percent" val="0"/>
        <cfvo type="num" val="1"/>
        <cfvo type="num" val="2"/>
      </iconSet>
    </cfRule>
  </conditionalFormatting>
  <conditionalFormatting sqref="F18:G19">
    <cfRule type="iconSet" priority="9">
      <iconSet iconSet="3Symbols">
        <cfvo type="percent" val="0"/>
        <cfvo type="num" val="1"/>
        <cfvo type="num" val="2"/>
      </iconSet>
    </cfRule>
    <cfRule type="iconSet" priority="10">
      <iconSet iconSet="3Symbols">
        <cfvo type="percent" val="0"/>
        <cfvo type="percent" val="33"/>
        <cfvo type="percent" val="67"/>
      </iconSet>
    </cfRule>
  </conditionalFormatting>
  <conditionalFormatting sqref="F10:H17 H18:H19">
    <cfRule type="iconSet" priority="73">
      <iconSet iconSet="3Symbols">
        <cfvo type="percent" val="0"/>
        <cfvo type="percent" val="33"/>
        <cfvo type="percent" val="67"/>
      </iconSet>
    </cfRule>
    <cfRule type="iconSet" priority="74">
      <iconSet iconSet="3Symbols">
        <cfvo type="percent" val="0"/>
        <cfvo type="num" val="1"/>
        <cfvo type="num" val="2"/>
      </iconSet>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6383-C7D9-4029-9ECD-2AFBC5139DBB}">
  <dimension ref="A1:W70"/>
  <sheetViews>
    <sheetView zoomScale="83" zoomScaleNormal="83" workbookViewId="0">
      <selection activeCell="B22" sqref="B22"/>
    </sheetView>
  </sheetViews>
  <sheetFormatPr defaultRowHeight="14.5" x14ac:dyDescent="0.35"/>
  <cols>
    <col min="1" max="1" width="28" customWidth="1"/>
    <col min="2" max="2" width="35.453125" style="2" customWidth="1"/>
    <col min="3" max="8" width="15.453125" customWidth="1"/>
    <col min="10" max="10" width="12.54296875" customWidth="1"/>
    <col min="17" max="17" width="12.81640625" customWidth="1"/>
  </cols>
  <sheetData>
    <row r="1" spans="1:23" x14ac:dyDescent="0.35">
      <c r="A1" s="1" t="s">
        <v>352</v>
      </c>
      <c r="C1">
        <f xml:space="preserve"> SUM(C3:C4) / (C3+ C4+ C7) * 100</f>
        <v>81.818181818181827</v>
      </c>
      <c r="D1">
        <f xml:space="preserve"> SUM(D3:D4) / (D3+ D4+ D7) * 100</f>
        <v>75</v>
      </c>
      <c r="E1">
        <f t="shared" ref="E1:H1" si="0" xml:space="preserve"> SUM(E3:E4) / (E3+ E4+ E7) * 100</f>
        <v>81.818181818181827</v>
      </c>
      <c r="F1">
        <f t="shared" si="0"/>
        <v>81.818181818181827</v>
      </c>
      <c r="G1">
        <f t="shared" si="0"/>
        <v>81.818181818181827</v>
      </c>
      <c r="H1">
        <f t="shared" si="0"/>
        <v>90</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100</v>
      </c>
      <c r="D2">
        <f t="shared" ref="D2:H2" si="1" xml:space="preserve"> SUM(D3:D4) / SUM(D3:D5) *100</f>
        <v>100</v>
      </c>
      <c r="E2">
        <f t="shared" si="1"/>
        <v>100</v>
      </c>
      <c r="F2">
        <f t="shared" si="1"/>
        <v>100</v>
      </c>
      <c r="G2">
        <f t="shared" si="1"/>
        <v>100</v>
      </c>
      <c r="H2">
        <f t="shared" si="1"/>
        <v>100</v>
      </c>
      <c r="J2" s="1" t="s">
        <v>13</v>
      </c>
      <c r="K2" s="10"/>
      <c r="L2" s="10"/>
      <c r="M2" s="10"/>
      <c r="Q2" s="1" t="s">
        <v>13</v>
      </c>
      <c r="R2" s="10"/>
      <c r="S2" s="10"/>
      <c r="T2" s="10"/>
    </row>
    <row r="3" spans="1:23" x14ac:dyDescent="0.35">
      <c r="A3" s="1" t="s">
        <v>242</v>
      </c>
      <c r="C3" s="2">
        <f t="shared" ref="C3:H3" si="2">COUNTIF(C10:C18, 2)</f>
        <v>9</v>
      </c>
      <c r="D3" s="2">
        <f t="shared" si="2"/>
        <v>9</v>
      </c>
      <c r="E3" s="2">
        <f t="shared" si="2"/>
        <v>9</v>
      </c>
      <c r="F3" s="2">
        <f t="shared" si="2"/>
        <v>9</v>
      </c>
      <c r="G3" s="2">
        <f t="shared" si="2"/>
        <v>7</v>
      </c>
      <c r="H3" s="2">
        <f t="shared" si="2"/>
        <v>8</v>
      </c>
      <c r="J3" s="1" t="s">
        <v>14</v>
      </c>
      <c r="K3" s="10" cm="1">
        <f t="array" ref="K3">IFERROR(SUMPRODUCT((C10:C100&lt;&gt;"")*(D10:D100&lt;&gt;"")*(C10:C100=D10:D100))/SUMPRODUCT(--((C10:C100&lt;&gt;"")+(D10:D100&lt;&gt;"")&gt;0)),"")</f>
        <v>0.93333333333333335</v>
      </c>
      <c r="L3" s="10"/>
      <c r="M3" s="10"/>
      <c r="Q3" s="1" t="s">
        <v>14</v>
      </c>
      <c r="R3" s="10" cm="1">
        <f t="array" ref="R3">IFERROR(
   SUMPRODUCT((C10:C100&lt;&gt;"")*(D10:D100&lt;&gt;"")*
   ((C10:C100=D10:D100)+((C10:C100=1)*(D10:D100=2))+((C10:C100=2)*(D10:D100=1))))
   /
   SUMPRODUCT(--((C10:C100&lt;&gt;"")+(D10:D100&lt;&gt;"")&gt;0)),
"")</f>
        <v>0.93333333333333335</v>
      </c>
      <c r="S3" s="10"/>
      <c r="T3" s="10"/>
    </row>
    <row r="4" spans="1:23" x14ac:dyDescent="0.35">
      <c r="A4" s="1" t="s">
        <v>243</v>
      </c>
      <c r="C4">
        <f t="shared" ref="C4:H4" si="3">COUNTIF(C10:C18, 1)</f>
        <v>0</v>
      </c>
      <c r="D4">
        <f t="shared" si="3"/>
        <v>0</v>
      </c>
      <c r="E4">
        <f t="shared" si="3"/>
        <v>0</v>
      </c>
      <c r="F4">
        <f t="shared" si="3"/>
        <v>0</v>
      </c>
      <c r="G4">
        <f t="shared" si="3"/>
        <v>2</v>
      </c>
      <c r="H4">
        <f t="shared" si="3"/>
        <v>1</v>
      </c>
      <c r="J4" s="1" t="s">
        <v>15</v>
      </c>
      <c r="K4" s="10" cm="1">
        <f t="array" ref="K4">IFERROR(SUMPRODUCT((C10:C100&lt;&gt;"")*(E10:E100&lt;&gt;"")*(C10:C100=E10:E100))/SUMPRODUCT(--((C10:C100&lt;&gt;"")+(E10:E100&lt;&gt;"")&gt;0)),"")</f>
        <v>0.8666666666666667</v>
      </c>
      <c r="L4" s="10" cm="1">
        <f t="array" ref="L4">IFERROR(SUMPRODUCT((E10:E100&lt;&gt;"")*(D10:D100&lt;&gt;"")*(E10:E100=D10:D100))/SUMPRODUCT(--((E10:E100&lt;&gt;"")+(D10:D100&lt;&gt;"")&gt;0)),"")</f>
        <v>0.93333333333333335</v>
      </c>
      <c r="M4" s="10"/>
      <c r="Q4" s="1" t="s">
        <v>15</v>
      </c>
      <c r="R4" s="10" cm="1">
        <f t="array" ref="R4">IFERROR(
   SUMPRODUCT((C10:C100&lt;&gt;"")*(E10:E100&lt;&gt;"")*
   ((C10:C100=E10:E100)+((C10:C100=1)*(E10:E100=2))+((C10:C100=2)*(E10:E100=1))))
   /
   SUMPRODUCT(--((C10:C100&lt;&gt;"")+(E10:E100&lt;&gt;"")&gt;0)),
"")</f>
        <v>0.8666666666666667</v>
      </c>
      <c r="S4" s="10" cm="1">
        <f t="array" ref="S4">IFERROR(
   SUMPRODUCT((E10:E100&lt;&gt;"")*(D10:D100&lt;&gt;"")*
   ((E10:E100=D10:D100)+((E10:E100=1)*(D10:D100=2))+((E10:E100=2)*(D10:D100=1))))
   /
   SUMPRODUCT(--((E10:E100&lt;&gt;"")+(D10:D100&lt;&gt;"")&gt;0)),
"")</f>
        <v>0.93333333333333335</v>
      </c>
      <c r="T4" s="10"/>
    </row>
    <row r="5" spans="1:23" x14ac:dyDescent="0.35">
      <c r="A5" s="1" t="s">
        <v>244</v>
      </c>
      <c r="C5">
        <f t="shared" ref="C5:H5" si="4">COUNTIF(C10:C18, 0)</f>
        <v>0</v>
      </c>
      <c r="D5">
        <f t="shared" si="4"/>
        <v>0</v>
      </c>
      <c r="E5">
        <f t="shared" si="4"/>
        <v>0</v>
      </c>
      <c r="F5">
        <f t="shared" si="4"/>
        <v>0</v>
      </c>
      <c r="G5">
        <f t="shared" si="4"/>
        <v>0</v>
      </c>
      <c r="H5">
        <f t="shared" si="4"/>
        <v>0</v>
      </c>
      <c r="J5" s="1" t="s">
        <v>16</v>
      </c>
      <c r="K5" s="11" cm="1">
        <f t="array" ref="K5">IFERROR(SUMPRODUCT((C10:C100&lt;&gt;"")*(F10:F100&lt;&gt;"")*(C10:C100=F10:F100))/SUMPRODUCT(--((C10:C100&lt;&gt;"")+(F10:F100&lt;&gt;"")&gt;0)),"")</f>
        <v>0.875</v>
      </c>
      <c r="L5" s="11" cm="1">
        <f t="array" ref="L5">IFERROR(SUMPRODUCT((F10:F100&lt;&gt;"")*(D10:D100&lt;&gt;"")*(F10:F100=D10:D100))/SUMPRODUCT(--((F10:F100&lt;&gt;"")+(D10:D100&lt;&gt;"")&gt;0)),"")</f>
        <v>0.82352941176470584</v>
      </c>
      <c r="M5" s="11" cm="1">
        <f t="array" ref="M5">IFERROR(SUMPRODUCT((F10:F100&lt;&gt;"")*(E10:E100&lt;&gt;"")*(F10:F100=E10:E100))/SUMPRODUCT(--((F10:F100&lt;&gt;"")+(E10:E100&lt;&gt;"")&gt;0)),"")</f>
        <v>0.76470588235294112</v>
      </c>
      <c r="N5" s="10"/>
      <c r="O5" s="10"/>
      <c r="Q5" s="1" t="s">
        <v>16</v>
      </c>
      <c r="R5" s="11" cm="1">
        <f t="array" ref="R5">IFERROR(
   SUMPRODUCT((C10:C100&lt;&gt;"")*(F10:F100&lt;&gt;"")*
   ((C10:C100=F10:F100)+((C10:C100=1)*(F10:F100=2))+((C10:C100=2)*(F10:F100=1))))
   /
   SUMPRODUCT(--((C10:C100&lt;&gt;"")+(F10:F100&lt;&gt;"")&gt;0)),
"")</f>
        <v>0.875</v>
      </c>
      <c r="S5" s="11" cm="1">
        <f t="array" ref="S5">IFERROR(
   SUMPRODUCT((F10:F100&lt;&gt;"")*(D10:D100&lt;&gt;"")*
   ((F10:F100=D10:D100)+((F10:F100=1)*(D10:D100=2))+((F10:F100=2)*(D10:D100=1))))
   /
   SUMPRODUCT(--((F10:F100&lt;&gt;"")+(D10:D100&lt;&gt;"")&gt;0)),
"")</f>
        <v>0.82352941176470584</v>
      </c>
      <c r="T5" s="11" cm="1">
        <f t="array" ref="T5">IFERROR(
   SUMPRODUCT((F10:F100&lt;&gt;"")*(E10:E100&lt;&gt;"")*
   ((F10:F100=E10:E100)+((F10:F100=1)*(E10:E100=2))+((F10:F100=2)*(E10:E100=1))))
   /
   SUMPRODUCT(--((F10:F100&lt;&gt;"")+(E10:E100&lt;&gt;"")&gt;0)),
"")</f>
        <v>0.76470588235294112</v>
      </c>
      <c r="U5" s="10"/>
      <c r="V5" s="10"/>
    </row>
    <row r="6" spans="1:23" x14ac:dyDescent="0.35">
      <c r="A6" s="1" t="s">
        <v>245</v>
      </c>
      <c r="C6">
        <f>COUNTIF(C20:C56,0) + COUNTIF(C20:C56,1)</f>
        <v>5</v>
      </c>
      <c r="D6">
        <f t="shared" ref="D6:H6" si="5">COUNTIF(D20:D56,0) + COUNTIF(D20:D56,1)</f>
        <v>6</v>
      </c>
      <c r="E6">
        <f t="shared" si="5"/>
        <v>5</v>
      </c>
      <c r="F6">
        <f t="shared" si="5"/>
        <v>7</v>
      </c>
      <c r="G6">
        <f t="shared" si="5"/>
        <v>5</v>
      </c>
      <c r="H6">
        <f t="shared" si="5"/>
        <v>6</v>
      </c>
      <c r="J6" s="1" t="s">
        <v>17</v>
      </c>
      <c r="K6" s="11" cm="1">
        <f t="array" ref="K6">IFERROR(SUMPRODUCT((C10:C100&lt;&gt;"")*(G10:G100&lt;&gt;"")*(C10:C100=G10:G100))/SUMPRODUCT(--((C10:C100&lt;&gt;"")+(G10:G100&lt;&gt;"")&gt;0)),"")</f>
        <v>0.73333333333333328</v>
      </c>
      <c r="L6" s="11" cm="1">
        <f t="array" ref="L6">SUMPRODUCT((D10:D100&lt;&gt;0)*(G10:G100&lt;&gt;0)) / SUMPRODUCT(((D10:D100&lt;&gt;0)+(G10:G100&lt;&gt;0)&gt;0)*1)</f>
        <v>1</v>
      </c>
      <c r="M6" s="11" cm="1">
        <f t="array" ref="M6">IFERROR(SUMPRODUCT((G10:G100&lt;&gt;"")*(E10:E100&lt;&gt;"")*(G10:G100=E10:E100))/SUMPRODUCT(--((G10:G100&lt;&gt;"")+(E10:E100&lt;&gt;"")&gt;0)),"")</f>
        <v>0.73333333333333328</v>
      </c>
      <c r="N6" s="10" cm="1">
        <f t="array" ref="N6">IFERROR(SUMPRODUCT((G10:G100&lt;&gt;"")*(F10:F100&lt;&gt;"")*(G10:G100=F10:F100))/SUMPRODUCT(--((G10:G100&lt;&gt;"")+(F10:F100&lt;&gt;"")&gt;0)),"")</f>
        <v>0.6470588235294118</v>
      </c>
      <c r="O6" s="10"/>
      <c r="Q6" s="1" t="s">
        <v>17</v>
      </c>
      <c r="R6" s="11" cm="1">
        <f t="array" ref="R6">IFERROR(
   SUMPRODUCT((C10:C100&lt;&gt;"")*(G10:G100&lt;&gt;"")*
   ((C10:C100=G10:G100)+((C10:C100=1)*(G10:G100=2))+((C10:C100=2)*(G10:G100=1))))
   /
   SUMPRODUCT(--((C10:C100&lt;&gt;"")+(G10:G100&lt;&gt;"")&gt;0)),
"")</f>
        <v>0.8666666666666667</v>
      </c>
      <c r="S6" s="11" cm="1">
        <f t="array" ref="S6">IFERROR(
   SUMPRODUCT((D10:D100&lt;&gt;"")*(G10:G100&lt;&gt;"")*
   ((D10:D100=G10:G100)+((D10:D100=1)*(G10:G100=2))+((D10:D100=2)*(G10:G100=1))))
   /
   SUMPRODUCT(--((D10:D100&lt;&gt;"")+(G10:G100&lt;&gt;"")&gt;0)),
"")</f>
        <v>0.8125</v>
      </c>
      <c r="T6" s="11" cm="1">
        <f t="array" ref="T6">IFERROR(
   SUMPRODUCT((G10:G100&lt;&gt;"")*(E10:E100&lt;&gt;"")*
   ((G10:G100=E10:E100)+((G10:G100=1)*(E10:E100=2))+((G10:G100=2)*(E10:E100=1))))
   /
   SUMPRODUCT(--((G10:G100&lt;&gt;"")+(E10:E100&lt;&gt;"")&gt;0)),
"")</f>
        <v>0.8666666666666667</v>
      </c>
      <c r="U6" s="10" cm="1">
        <f t="array" ref="U6">IFERROR(
   SUMPRODUCT((F10:F100&lt;&gt;"")*(G10:G100&lt;&gt;"")*
   ((F10:F100=G10:G100)+((F10:F100=1)*(G10:G100=2))+((F10:F100=2)*(G10:G100=1))))
   /
   SUMPRODUCT(--((F10:F100&lt;&gt;"")+(G10:G100&lt;&gt;"")&gt;0)),
"")</f>
        <v>0.76470588235294112</v>
      </c>
      <c r="V6" s="10"/>
    </row>
    <row r="7" spans="1:23" x14ac:dyDescent="0.35">
      <c r="A7" s="1" t="s">
        <v>246</v>
      </c>
      <c r="C7">
        <f>COUNTIF(C20:C56,0)</f>
        <v>2</v>
      </c>
      <c r="D7">
        <f t="shared" ref="D7:H7" si="6">COUNTIF(D20:D56,0)</f>
        <v>3</v>
      </c>
      <c r="E7">
        <f t="shared" si="6"/>
        <v>2</v>
      </c>
      <c r="F7">
        <f t="shared" si="6"/>
        <v>2</v>
      </c>
      <c r="G7">
        <f t="shared" si="6"/>
        <v>2</v>
      </c>
      <c r="H7">
        <f t="shared" si="6"/>
        <v>1</v>
      </c>
      <c r="J7" s="1" t="s">
        <v>18</v>
      </c>
      <c r="K7" s="11" cm="1">
        <f t="array" ref="K7">IFERROR(SUMPRODUCT((C10:C100&lt;&gt;"")*(H10:H100&lt;&gt;"")*(C10:C100=H10:H100))/SUMPRODUCT(--((C10:C100&lt;&gt;"")+(H10:H100&lt;&gt;"")&gt;0)),"")</f>
        <v>0.75</v>
      </c>
      <c r="L7" s="11" cm="1">
        <f t="array" ref="L7">IFERROR(SUMPRODUCT((H10:H100&lt;&gt;"")*(D10:D100&lt;&gt;"")*(H10:H100=D10:D100))/SUMPRODUCT(--((H10:H100&lt;&gt;"")+(D10:D100&lt;&gt;"")&gt;0)),"")</f>
        <v>0.70588235294117652</v>
      </c>
      <c r="M7" s="11" cm="1">
        <f t="array" ref="M7">IFERROR(SUMPRODUCT((H10:H100&lt;&gt;"")*(E10:E100&lt;&gt;"")*(H10:H100=E10:E100))/SUMPRODUCT(--((H10:H100&lt;&gt;"")+(E10:E100&lt;&gt;"")&gt;0)),"")</f>
        <v>0.75</v>
      </c>
      <c r="N7" s="10" cm="1">
        <f t="array" ref="N7">IFERROR(SUMPRODUCT((F10:F100&lt;&gt;"")*(H10:H100&lt;&gt;"")*(F10:F100=H10:H100))/SUMPRODUCT(--((F10:F100&lt;&gt;"")+(H10:H100&lt;&gt;"")&gt;0)),"")</f>
        <v>0.76470588235294112</v>
      </c>
      <c r="O7" s="10" cm="1">
        <f t="array" ref="O7">IFERROR(SUMPRODUCT((G10:G100&lt;&gt;"")*(H10:H100&lt;&gt;"")*(G10:G100=H10:H100))/SUMPRODUCT(--((G10:G100&lt;&gt;"")+(H10:H100&lt;&gt;"")&gt;0)),"")</f>
        <v>0.75</v>
      </c>
      <c r="Q7" s="1" t="s">
        <v>18</v>
      </c>
      <c r="R7" s="11" cm="1">
        <f t="array" ref="R7">IFERROR(
   SUMPRODUCT((C10:C100&lt;&gt;"")*(H10:H100&lt;&gt;"")*
   ((C10:C100=H10:H100)+((C10:C100=1)*(H10:H100=2))+((C10:C100=2)*(H10:H100=1))))
   /
   SUMPRODUCT(--((C10:C100&lt;&gt;"")+(H10:H100&lt;&gt;"")&gt;0)),
"")</f>
        <v>0.8125</v>
      </c>
      <c r="S7" s="11" cm="1">
        <f t="array" ref="S7">IFERROR(
   SUMPRODUCT((H10:H100&lt;&gt;"")*(D10:D100&lt;&gt;"")*
   ((H10:H100=D10:D100)+((H10:H100=1)*(D10:D100=2))+((H10:H100=2)*(D10:D100=1))))
   /
   SUMPRODUCT(--((H10:H100&lt;&gt;"")+(D10:D100&lt;&gt;"")&gt;0)),
"")</f>
        <v>0.76470588235294112</v>
      </c>
      <c r="T7" s="11" cm="1">
        <f t="array" ref="T7">IFERROR(
   SUMPRODUCT((H10:H100&lt;&gt;"")*(E10:E100&lt;&gt;"")*
   ((H10:H100=E10:E100)+((H10:H100=1)*(E10:E100=2))+((H10:H100=2)*(E10:E100=1))))
   /
   SUMPRODUCT(--((H10:H100&lt;&gt;"")+(E10:E100&lt;&gt;"")&gt;0)),
"")</f>
        <v>0.8125</v>
      </c>
      <c r="U7" s="10" cm="1">
        <f t="array" ref="U7">IFERROR(
   SUMPRODUCT((F10:F100&lt;&gt;"")*(H10:H100&lt;&gt;"")*
   ((F10:F100=H10:H100)+((F10:F100=1)*(H10:H100=2))+((F10:F100=2)*(H10:H100=1))))
   /
   SUMPRODUCT(--((F10:F100&lt;&gt;"")+(H10:H100&lt;&gt;"")&gt;0)),
"")</f>
        <v>0.82352941176470584</v>
      </c>
      <c r="V7" s="10" cm="1">
        <f t="array" ref="V7">IFERROR(
   SUMPRODUCT((H10:H100&lt;&gt;"")*(G10:G100&lt;&gt;"")*
   ((H10:H100=G10:G100)+((H10:H100=1)*(G10:G100=2))+((H10:H100=2)*(G10:G100=1))))
   /
   SUMPRODUCT(--((H10:H100&lt;&gt;"")+(G10:G100&lt;&gt;"")&gt;0)),
"")</f>
        <v>0.8125</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6</v>
      </c>
      <c r="B10" t="s">
        <v>250</v>
      </c>
      <c r="C10">
        <v>2</v>
      </c>
      <c r="D10">
        <v>2</v>
      </c>
      <c r="E10">
        <v>2</v>
      </c>
      <c r="F10">
        <v>2</v>
      </c>
      <c r="G10">
        <v>2</v>
      </c>
      <c r="H10">
        <v>2</v>
      </c>
    </row>
    <row r="11" spans="1:23" x14ac:dyDescent="0.35">
      <c r="A11" s="1"/>
      <c r="B11" t="s">
        <v>249</v>
      </c>
      <c r="C11">
        <v>2</v>
      </c>
      <c r="D11">
        <v>2</v>
      </c>
      <c r="E11">
        <v>2</v>
      </c>
      <c r="F11">
        <v>2</v>
      </c>
      <c r="G11">
        <v>2</v>
      </c>
      <c r="H11">
        <v>2</v>
      </c>
    </row>
    <row r="12" spans="1:23" x14ac:dyDescent="0.35">
      <c r="A12" s="1"/>
      <c r="B12" t="s">
        <v>252</v>
      </c>
      <c r="C12">
        <v>2</v>
      </c>
      <c r="D12">
        <v>2</v>
      </c>
      <c r="E12">
        <v>2</v>
      </c>
      <c r="F12">
        <v>2</v>
      </c>
      <c r="G12">
        <v>2</v>
      </c>
      <c r="H12">
        <v>2</v>
      </c>
    </row>
    <row r="13" spans="1:23" x14ac:dyDescent="0.35">
      <c r="A13" s="1"/>
      <c r="B13" t="s">
        <v>253</v>
      </c>
      <c r="C13">
        <v>2</v>
      </c>
      <c r="D13">
        <v>2</v>
      </c>
      <c r="E13">
        <v>2</v>
      </c>
      <c r="F13">
        <v>2</v>
      </c>
      <c r="G13">
        <v>2</v>
      </c>
      <c r="H13">
        <v>2</v>
      </c>
    </row>
    <row r="14" spans="1:23" x14ac:dyDescent="0.35">
      <c r="A14" s="1"/>
      <c r="B14" t="s">
        <v>254</v>
      </c>
      <c r="C14">
        <v>2</v>
      </c>
      <c r="D14">
        <v>2</v>
      </c>
      <c r="E14">
        <v>2</v>
      </c>
      <c r="F14">
        <v>2</v>
      </c>
      <c r="G14">
        <v>2</v>
      </c>
      <c r="H14">
        <v>2</v>
      </c>
    </row>
    <row r="15" spans="1:23" x14ac:dyDescent="0.35">
      <c r="A15" s="1"/>
      <c r="B15" t="s">
        <v>255</v>
      </c>
      <c r="C15">
        <v>2</v>
      </c>
      <c r="D15">
        <v>2</v>
      </c>
      <c r="E15">
        <v>2</v>
      </c>
      <c r="F15">
        <v>2</v>
      </c>
      <c r="G15">
        <v>2</v>
      </c>
      <c r="H15">
        <v>2</v>
      </c>
    </row>
    <row r="16" spans="1:23" x14ac:dyDescent="0.35">
      <c r="A16" s="1" t="s">
        <v>284</v>
      </c>
      <c r="B16" t="s">
        <v>251</v>
      </c>
      <c r="C16">
        <v>2</v>
      </c>
      <c r="D16">
        <v>2</v>
      </c>
      <c r="E16">
        <v>2</v>
      </c>
      <c r="F16">
        <v>2</v>
      </c>
      <c r="G16">
        <v>2</v>
      </c>
      <c r="H16">
        <v>2</v>
      </c>
    </row>
    <row r="17" spans="1:9" x14ac:dyDescent="0.35">
      <c r="A17" s="1" t="s">
        <v>20</v>
      </c>
      <c r="B17" t="s">
        <v>247</v>
      </c>
      <c r="C17">
        <v>2</v>
      </c>
      <c r="D17">
        <v>2</v>
      </c>
      <c r="E17">
        <v>2</v>
      </c>
      <c r="F17">
        <v>2</v>
      </c>
      <c r="G17">
        <v>1</v>
      </c>
      <c r="H17">
        <v>1</v>
      </c>
    </row>
    <row r="18" spans="1:9" x14ac:dyDescent="0.35">
      <c r="A18" s="1"/>
      <c r="B18" t="s">
        <v>248</v>
      </c>
      <c r="C18">
        <v>2</v>
      </c>
      <c r="D18">
        <v>2</v>
      </c>
      <c r="E18">
        <v>2</v>
      </c>
      <c r="F18">
        <v>2</v>
      </c>
      <c r="G18">
        <v>1</v>
      </c>
      <c r="H18">
        <v>2</v>
      </c>
    </row>
    <row r="19" spans="1:9" s="3" customFormat="1" x14ac:dyDescent="0.35">
      <c r="F19" s="4"/>
      <c r="G19" s="4"/>
      <c r="H19" s="4"/>
      <c r="I19" s="4"/>
    </row>
    <row r="20" spans="1:9" x14ac:dyDescent="0.35">
      <c r="A20" s="1" t="s">
        <v>21</v>
      </c>
      <c r="B20" s="2" t="s">
        <v>285</v>
      </c>
      <c r="C20">
        <v>1</v>
      </c>
      <c r="D20">
        <v>1</v>
      </c>
      <c r="E20">
        <v>1</v>
      </c>
      <c r="F20">
        <v>1</v>
      </c>
      <c r="G20">
        <v>1</v>
      </c>
      <c r="H20">
        <v>1</v>
      </c>
    </row>
    <row r="21" spans="1:9" x14ac:dyDescent="0.35">
      <c r="A21" s="1"/>
      <c r="B21" s="2" t="s">
        <v>290</v>
      </c>
      <c r="C21">
        <v>1</v>
      </c>
      <c r="D21">
        <v>1</v>
      </c>
      <c r="E21">
        <v>1</v>
      </c>
      <c r="F21">
        <v>1</v>
      </c>
      <c r="G21">
        <v>1</v>
      </c>
      <c r="H21">
        <v>1</v>
      </c>
    </row>
    <row r="22" spans="1:9" x14ac:dyDescent="0.35">
      <c r="B22" s="2" t="s">
        <v>286</v>
      </c>
      <c r="C22">
        <v>1</v>
      </c>
      <c r="D22">
        <v>1</v>
      </c>
      <c r="E22">
        <v>1</v>
      </c>
      <c r="F22">
        <v>1</v>
      </c>
      <c r="G22">
        <v>1</v>
      </c>
      <c r="H22">
        <v>1</v>
      </c>
    </row>
    <row r="23" spans="1:9" x14ac:dyDescent="0.35">
      <c r="B23" s="2" t="s">
        <v>287</v>
      </c>
      <c r="C23">
        <v>0</v>
      </c>
      <c r="D23">
        <v>0</v>
      </c>
      <c r="E23">
        <v>0</v>
      </c>
      <c r="F23">
        <v>0</v>
      </c>
      <c r="G23">
        <v>0</v>
      </c>
      <c r="H23">
        <v>0</v>
      </c>
    </row>
    <row r="24" spans="1:9" x14ac:dyDescent="0.35">
      <c r="B24" s="2" t="s">
        <v>288</v>
      </c>
      <c r="C24">
        <v>0</v>
      </c>
      <c r="D24">
        <v>0</v>
      </c>
      <c r="F24">
        <v>0</v>
      </c>
    </row>
    <row r="25" spans="1:9" x14ac:dyDescent="0.35">
      <c r="B25" s="2" t="s">
        <v>289</v>
      </c>
      <c r="D25">
        <v>0</v>
      </c>
      <c r="E25">
        <v>0</v>
      </c>
    </row>
    <row r="26" spans="1:9" x14ac:dyDescent="0.35">
      <c r="B26" s="2" t="s">
        <v>291</v>
      </c>
      <c r="F26">
        <v>1</v>
      </c>
      <c r="H26">
        <v>1</v>
      </c>
    </row>
    <row r="27" spans="1:9" x14ac:dyDescent="0.35">
      <c r="B27" s="2" t="s">
        <v>292</v>
      </c>
      <c r="F27">
        <v>1</v>
      </c>
    </row>
    <row r="28" spans="1:9" x14ac:dyDescent="0.35">
      <c r="B28" s="2" t="s">
        <v>293</v>
      </c>
      <c r="G28">
        <v>0</v>
      </c>
    </row>
    <row r="29" spans="1:9" x14ac:dyDescent="0.35">
      <c r="B29" s="2" t="s">
        <v>33</v>
      </c>
      <c r="H29">
        <v>1</v>
      </c>
    </row>
    <row r="57" spans="2:2" x14ac:dyDescent="0.35">
      <c r="B57" s="6"/>
    </row>
    <row r="63" spans="2:2" ht="15.5" x14ac:dyDescent="0.35">
      <c r="B63" s="8"/>
    </row>
    <row r="64" spans="2:2" ht="15.5" x14ac:dyDescent="0.35">
      <c r="B64" s="9"/>
    </row>
    <row r="65" spans="2:2" ht="15.5" x14ac:dyDescent="0.35">
      <c r="B65" s="8"/>
    </row>
    <row r="66" spans="2:2" ht="15.5" x14ac:dyDescent="0.35">
      <c r="B66" s="8"/>
    </row>
    <row r="67" spans="2:2" ht="15.5" x14ac:dyDescent="0.35">
      <c r="B67" s="9"/>
    </row>
    <row r="68" spans="2:2" ht="15.5" x14ac:dyDescent="0.35">
      <c r="B68" s="9"/>
    </row>
    <row r="69" spans="2:2" ht="15.5" x14ac:dyDescent="0.35">
      <c r="B69" s="8"/>
    </row>
    <row r="70" spans="2:2" x14ac:dyDescent="0.35">
      <c r="B70" s="6"/>
    </row>
  </sheetData>
  <conditionalFormatting sqref="C43:I49 C42:F42 H42:I42 G50 H51:H56 C10:I41">
    <cfRule type="iconSet" priority="3">
      <iconSet iconSet="3Symbols">
        <cfvo type="percent" val="0"/>
        <cfvo type="num" val="1"/>
        <cfvo type="num" val="2"/>
      </iconSet>
    </cfRule>
  </conditionalFormatting>
  <conditionalFormatting sqref="F22:I41 F43:I43 F42 H42:I42">
    <cfRule type="iconSet" priority="2">
      <iconSet iconSet="3Symbols">
        <cfvo type="percent" val="0"/>
        <cfvo type="num" val="1"/>
        <cfvo type="num" val="2"/>
      </iconSet>
    </cfRule>
  </conditionalFormatting>
  <conditionalFormatting sqref="J21:J46 J10:J19">
    <cfRule type="iconSet" priority="1">
      <iconSet>
        <cfvo type="percent" val="0"/>
        <cfvo type="num" val="1"/>
        <cfvo type="num" val="2"/>
      </iconSet>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C152-D915-47A2-8823-F6F8E0E3A90B}">
  <dimension ref="A1:W57"/>
  <sheetViews>
    <sheetView topLeftCell="B1" zoomScale="83" workbookViewId="0">
      <selection activeCell="C7" sqref="C7"/>
    </sheetView>
  </sheetViews>
  <sheetFormatPr defaultRowHeight="14.5" x14ac:dyDescent="0.35"/>
  <cols>
    <col min="1" max="1" width="28" customWidth="1"/>
    <col min="2" max="2" width="35.453125" style="2" customWidth="1"/>
    <col min="3" max="8" width="15.453125" customWidth="1"/>
    <col min="10" max="10" width="12.54296875" customWidth="1"/>
    <col min="17" max="17" width="12" customWidth="1"/>
  </cols>
  <sheetData>
    <row r="1" spans="1:23" x14ac:dyDescent="0.35">
      <c r="A1" s="1" t="s">
        <v>352</v>
      </c>
      <c r="C1">
        <f xml:space="preserve"> SUM(C3:C4) / (C3+ C4+ C7) * 100</f>
        <v>91.666666666666657</v>
      </c>
      <c r="D1">
        <f t="shared" ref="D1:H1" si="0" xml:space="preserve"> SUM(D3:D4) / (D3+ D4+ D7) * 100</f>
        <v>100</v>
      </c>
      <c r="E1">
        <f t="shared" si="0"/>
        <v>100</v>
      </c>
      <c r="F1">
        <f t="shared" si="0"/>
        <v>66.666666666666657</v>
      </c>
      <c r="G1">
        <f t="shared" si="0"/>
        <v>95.652173913043484</v>
      </c>
      <c r="H1">
        <f t="shared" si="0"/>
        <v>95.652173913043484</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100</v>
      </c>
      <c r="D2">
        <f t="shared" ref="D2:H2" si="1" xml:space="preserve"> SUM(D3:D4) / SUM(D3:D5) *100</f>
        <v>100</v>
      </c>
      <c r="E2">
        <f t="shared" si="1"/>
        <v>100</v>
      </c>
      <c r="F2">
        <f t="shared" si="1"/>
        <v>100</v>
      </c>
      <c r="G2">
        <f t="shared" si="1"/>
        <v>100</v>
      </c>
      <c r="H2">
        <f t="shared" si="1"/>
        <v>100</v>
      </c>
      <c r="J2" s="1" t="s">
        <v>13</v>
      </c>
      <c r="K2" s="10"/>
      <c r="L2" s="10"/>
      <c r="M2" s="10"/>
      <c r="Q2" s="1" t="s">
        <v>13</v>
      </c>
      <c r="R2" s="10"/>
      <c r="S2" s="10"/>
      <c r="T2" s="10"/>
    </row>
    <row r="3" spans="1:23" x14ac:dyDescent="0.35">
      <c r="A3" s="1" t="s">
        <v>242</v>
      </c>
      <c r="C3" s="2">
        <f>COUNTIF(C10:C31, 2)</f>
        <v>20</v>
      </c>
      <c r="D3" s="2">
        <f t="shared" ref="D3:H3" si="2">COUNTIF(D10:D31, 2)</f>
        <v>20</v>
      </c>
      <c r="E3" s="2">
        <f t="shared" si="2"/>
        <v>20</v>
      </c>
      <c r="F3" s="2">
        <f t="shared" si="2"/>
        <v>19</v>
      </c>
      <c r="G3" s="2">
        <f t="shared" si="2"/>
        <v>21</v>
      </c>
      <c r="H3" s="2">
        <f t="shared" si="2"/>
        <v>19</v>
      </c>
      <c r="J3" s="1" t="s">
        <v>14</v>
      </c>
      <c r="K3" s="10" cm="1">
        <f t="array" ref="K3">IFERROR(SUMPRODUCT((C10:C100&lt;&gt;"")*(D10:D100&lt;&gt;"")*(C10:C100=D10:D100))/SUMPRODUCT(--((C10:C100&lt;&gt;"")+(D10:D100&lt;&gt;"")&gt;0)),"")</f>
        <v>0.68965517241379315</v>
      </c>
      <c r="L3" s="10"/>
      <c r="M3" s="10"/>
      <c r="Q3" s="1" t="s">
        <v>14</v>
      </c>
      <c r="R3" s="10" cm="1">
        <f t="array" ref="R3">IFERROR(
   SUMPRODUCT((C10:C100&lt;&gt;"")*(D10:D100&lt;&gt;"")*
   ((C10:C100=D10:D100)+((C10:C100=1)*(D10:D100=2))+((C10:C100=2)*(D10:D100=1))))
   /
   SUMPRODUCT(--((C10:C100&lt;&gt;"")+(D10:D100&lt;&gt;"")&gt;0)),
"")</f>
        <v>0.75862068965517238</v>
      </c>
      <c r="S3" s="10"/>
      <c r="T3" s="10"/>
    </row>
    <row r="4" spans="1:23" x14ac:dyDescent="0.35">
      <c r="A4" s="1" t="s">
        <v>243</v>
      </c>
      <c r="C4">
        <f>COUNTIF(C10:C31, 1)</f>
        <v>2</v>
      </c>
      <c r="D4">
        <f t="shared" ref="D4:H4" si="3">COUNTIF(D10:D31, 1)</f>
        <v>2</v>
      </c>
      <c r="E4">
        <f t="shared" si="3"/>
        <v>2</v>
      </c>
      <c r="F4">
        <f t="shared" si="3"/>
        <v>3</v>
      </c>
      <c r="G4">
        <f t="shared" si="3"/>
        <v>1</v>
      </c>
      <c r="H4">
        <f t="shared" si="3"/>
        <v>3</v>
      </c>
      <c r="J4" s="1" t="s">
        <v>15</v>
      </c>
      <c r="K4" s="10" cm="1">
        <f t="array" ref="K4">IFERROR(SUMPRODUCT((C10:C100&lt;&gt;"")*(E10:E100&lt;&gt;"")*(C10:C100=E10:E100))/SUMPRODUCT(--((C10:C100&lt;&gt;"")+(E10:E100&lt;&gt;"")&gt;0)),"")</f>
        <v>0.625</v>
      </c>
      <c r="L4" s="10" cm="1">
        <f t="array" ref="L4">IFERROR(SUMPRODUCT((E10:E100&lt;&gt;"")*(D10:D100&lt;&gt;"")*(E10:E100=D10:D100))/SUMPRODUCT(--((E10:E100&lt;&gt;"")+(D10:D100&lt;&gt;"")&gt;0)),"")</f>
        <v>0.82758620689655171</v>
      </c>
      <c r="M4" s="10"/>
      <c r="Q4" s="1" t="s">
        <v>15</v>
      </c>
      <c r="R4" s="10" cm="1">
        <f t="array" ref="R4">IFERROR(
   SUMPRODUCT((C10:C100&lt;&gt;"")*(E10:E100&lt;&gt;"")*
   ((C10:C100=E10:E100)+((C10:C100=1)*(E10:E100=2))+((C10:C100=2)*(E10:E100=1))))
   /
   SUMPRODUCT(--((C10:C100&lt;&gt;"")+(E10:E100&lt;&gt;"")&gt;0)),
"")</f>
        <v>0.6875</v>
      </c>
      <c r="S4" s="10" cm="1">
        <f t="array" ref="S4">IFERROR(
   SUMPRODUCT((E10:E100&lt;&gt;"")*(D10:D100&lt;&gt;"")*
   ((E10:E100=D10:D100)+((E10:E100=1)*(D10:D100=2))+((E10:E100=2)*(D10:D100=1))))
   /
   SUMPRODUCT(--((E10:E100&lt;&gt;"")+(D10:D100&lt;&gt;"")&gt;0)),
"")</f>
        <v>0.89655172413793105</v>
      </c>
      <c r="T4" s="10"/>
    </row>
    <row r="5" spans="1:23" x14ac:dyDescent="0.35">
      <c r="A5" s="1" t="s">
        <v>244</v>
      </c>
      <c r="C5">
        <f>COUNTIF(C10:C31, 0)</f>
        <v>0</v>
      </c>
      <c r="D5">
        <f t="shared" ref="D5:H5" si="4">COUNTIF(D10:D31, 0)</f>
        <v>0</v>
      </c>
      <c r="E5">
        <f t="shared" si="4"/>
        <v>0</v>
      </c>
      <c r="F5">
        <f t="shared" si="4"/>
        <v>0</v>
      </c>
      <c r="G5">
        <f t="shared" si="4"/>
        <v>0</v>
      </c>
      <c r="H5">
        <f t="shared" si="4"/>
        <v>0</v>
      </c>
      <c r="J5" s="1" t="s">
        <v>16</v>
      </c>
      <c r="K5" s="11" cm="1">
        <f t="array" ref="K5">IFERROR(SUMPRODUCT((C10:C100&lt;&gt;"")*(F10:F100&lt;&gt;"")*(C10:C100=F10:F100))/SUMPRODUCT(--((C10:C100&lt;&gt;"")+(F10:F100&lt;&gt;"")&gt;0)),"")</f>
        <v>0.6216216216216216</v>
      </c>
      <c r="L5" s="11" cm="1">
        <f t="array" ref="L5">IFERROR(SUMPRODUCT((F10:F100&lt;&gt;"")*(D10:D100&lt;&gt;"")*(F10:F100=D10:D100))/SUMPRODUCT(--((F10:F100&lt;&gt;"")+(D10:D100&lt;&gt;"")&gt;0)),"")</f>
        <v>0.51282051282051277</v>
      </c>
      <c r="M5" s="11" cm="1">
        <f t="array" ref="M5">IFERROR(SUMPRODUCT((F10:F100&lt;&gt;"")*(E10:E100&lt;&gt;"")*(F10:F100=E10:E100))/SUMPRODUCT(--((F10:F100&lt;&gt;"")+(E10:E100&lt;&gt;"")&gt;0)),"")</f>
        <v>0.47619047619047616</v>
      </c>
      <c r="N5" s="10"/>
      <c r="O5" s="10"/>
      <c r="Q5" s="1" t="s">
        <v>16</v>
      </c>
      <c r="R5" s="11" cm="1">
        <f t="array" ref="R5">IFERROR(
   SUMPRODUCT((C10:C100&lt;&gt;"")*(F10:F100&lt;&gt;"")*
   ((C10:C100=F10:F100)+((C10:C100=1)*(F10:F100=2))+((C10:C100=2)*(F10:F100=1))))
   /
   SUMPRODUCT(--((C10:C100&lt;&gt;"")+(F10:F100&lt;&gt;"")&gt;0)),
"")</f>
        <v>0.64864864864864868</v>
      </c>
      <c r="S5" s="11" cm="1">
        <f t="array" ref="S5">IFERROR(
   SUMPRODUCT((F10:F100&lt;&gt;"")*(D10:D100&lt;&gt;"")*
   ((F10:F100=D10:D100)+((F10:F100=1)*(D10:D100=2))+((F10:F100=2)*(D10:D100=1))))
   /
   SUMPRODUCT(--((F10:F100&lt;&gt;"")+(D10:D100&lt;&gt;"")&gt;0)),
"")</f>
        <v>0.58974358974358976</v>
      </c>
      <c r="T5" s="11" cm="1">
        <f t="array" ref="T5">IFERROR(
   SUMPRODUCT((F10:F100&lt;&gt;"")*(E10:E100&lt;&gt;"")*
   ((F10:F100=E10:E100)+((F10:F100=1)*(E10:E100=2))+((F10:F100=2)*(E10:E100=1))))
   /
   SUMPRODUCT(--((F10:F100&lt;&gt;"")+(E10:E100&lt;&gt;"")&gt;0)),
"")</f>
        <v>0.54761904761904767</v>
      </c>
      <c r="U5" s="10"/>
      <c r="V5" s="10"/>
    </row>
    <row r="6" spans="1:23" x14ac:dyDescent="0.35">
      <c r="A6" s="1" t="s">
        <v>245</v>
      </c>
      <c r="C6">
        <f>COUNTIF(C33:C57,0) + COUNTIF(C33:C57,1)</f>
        <v>3</v>
      </c>
      <c r="D6">
        <f t="shared" ref="D6:H6" si="5">COUNTIF(D33:D57,0) + COUNTIF(D33:D57,1)</f>
        <v>4</v>
      </c>
      <c r="E6">
        <f t="shared" si="5"/>
        <v>7</v>
      </c>
      <c r="F6">
        <f t="shared" si="5"/>
        <v>14</v>
      </c>
      <c r="G6">
        <f t="shared" si="5"/>
        <v>3</v>
      </c>
      <c r="H6">
        <f t="shared" si="5"/>
        <v>6</v>
      </c>
      <c r="J6" s="1" t="s">
        <v>17</v>
      </c>
      <c r="K6" s="11" cm="1">
        <f t="array" ref="K6">IFERROR(SUMPRODUCT((C10:C100&lt;&gt;"")*(G10:G100&lt;&gt;"")*(C10:C100=G10:G100))/SUMPRODUCT(--((C10:C100&lt;&gt;"")+(G10:G100&lt;&gt;"")&gt;0)),"")</f>
        <v>0.75</v>
      </c>
      <c r="L6" s="11" cm="1">
        <f t="array" ref="L6">SUMPRODUCT((D10:D100&lt;&gt;0)*(G10:G100&lt;&gt;0)) / SUMPRODUCT(((D10:D100&lt;&gt;0)+(G10:G100&lt;&gt;0)&gt;0)*1)</f>
        <v>0.85185185185185186</v>
      </c>
      <c r="M6" s="11" cm="1">
        <f t="array" ref="M6">IFERROR(SUMPRODUCT((G10:G100&lt;&gt;"")*(E10:E100&lt;&gt;"")*(G10:G100=E10:E100))/SUMPRODUCT(--((G10:G100&lt;&gt;"")+(E10:E100&lt;&gt;"")&gt;0)),"")</f>
        <v>0.70967741935483875</v>
      </c>
      <c r="N6" s="10" cm="1">
        <f t="array" ref="N6">IFERROR(SUMPRODUCT((G10:G100&lt;&gt;"")*(F10:F100&lt;&gt;"")*(G10:G100=F10:F100))/SUMPRODUCT(--((G10:G100&lt;&gt;"")+(F10:F100&lt;&gt;"")&gt;0)),"")</f>
        <v>0.55263157894736847</v>
      </c>
      <c r="O6" s="10"/>
      <c r="Q6" s="1" t="s">
        <v>17</v>
      </c>
      <c r="R6" s="11" cm="1">
        <f t="array" ref="R6">IFERROR(
   SUMPRODUCT((C10:C100&lt;&gt;"")*(G10:G100&lt;&gt;"")*
   ((C10:C100=G10:G100)+((C10:C100=1)*(G10:G100=2))+((C10:C100=2)*(G10:G100=1))))
   /
   SUMPRODUCT(--((C10:C100&lt;&gt;"")+(G10:G100&lt;&gt;"")&gt;0)),
"")</f>
        <v>0.7857142857142857</v>
      </c>
      <c r="S6" s="11" cm="1">
        <f t="array" ref="S6">IFERROR(
   SUMPRODUCT((D10:D100&lt;&gt;"")*(G10:G100&lt;&gt;"")*
   ((D10:D100=G10:G100)+((D10:D100=1)*(G10:G100=2))+((D10:D100=2)*(G10:G100=1))))
   /
   SUMPRODUCT(--((D10:D100&lt;&gt;"")+(G10:G100&lt;&gt;"")&gt;0)),
"")</f>
        <v>0.8214285714285714</v>
      </c>
      <c r="T6" s="11" cm="1">
        <f t="array" ref="T6">IFERROR(
   SUMPRODUCT((G10:G100&lt;&gt;"")*(E10:E100&lt;&gt;"")*
   ((G10:G100=E10:E100)+((G10:G100=1)*(E10:E100=2))+((G10:G100=2)*(E10:E100=1))))
   /
   SUMPRODUCT(--((G10:G100&lt;&gt;"")+(E10:E100&lt;&gt;"")&gt;0)),
"")</f>
        <v>0.74193548387096775</v>
      </c>
      <c r="U6" s="10" cm="1">
        <f t="array" ref="U6">IFERROR(
   SUMPRODUCT((F10:F100&lt;&gt;"")*(G10:G100&lt;&gt;"")*
   ((F10:F100=G10:G100)+((F10:F100=1)*(G10:G100=2))+((F10:F100=2)*(G10:G100=1))))
   /
   SUMPRODUCT(--((F10:F100&lt;&gt;"")+(G10:G100&lt;&gt;"")&gt;0)),
"")</f>
        <v>0.60526315789473684</v>
      </c>
      <c r="V6" s="10"/>
    </row>
    <row r="7" spans="1:23" x14ac:dyDescent="0.35">
      <c r="A7" s="1" t="s">
        <v>246</v>
      </c>
      <c r="C7">
        <f>COUNTIF(C33:C57,0)</f>
        <v>2</v>
      </c>
      <c r="D7">
        <f t="shared" ref="D7:H7" si="6">COUNTIF(D33:D57,0)</f>
        <v>0</v>
      </c>
      <c r="E7">
        <f t="shared" si="6"/>
        <v>0</v>
      </c>
      <c r="F7">
        <f t="shared" si="6"/>
        <v>11</v>
      </c>
      <c r="G7">
        <f t="shared" si="6"/>
        <v>1</v>
      </c>
      <c r="H7">
        <f t="shared" si="6"/>
        <v>1</v>
      </c>
      <c r="J7" s="1" t="s">
        <v>18</v>
      </c>
      <c r="K7" s="11" cm="1">
        <f t="array" ref="K7">IFERROR(SUMPRODUCT((C10:C100&lt;&gt;"")*(H10:H100&lt;&gt;"")*(C10:C100=H10:H100))/SUMPRODUCT(--((C10:C100&lt;&gt;"")+(H10:H100&lt;&gt;"")&gt;0)),"")</f>
        <v>0.61290322580645162</v>
      </c>
      <c r="L7" s="11" cm="1">
        <f t="array" ref="L7">IFERROR(SUMPRODUCT((H10:H100&lt;&gt;"")*(D10:D100&lt;&gt;"")*(H10:H100=D10:D100))/SUMPRODUCT(--((H10:H100&lt;&gt;"")+(D10:D100&lt;&gt;"")&gt;0)),"")</f>
        <v>0.64516129032258063</v>
      </c>
      <c r="M7" s="11" cm="1">
        <f t="array" ref="M7">IFERROR(SUMPRODUCT((H10:H100&lt;&gt;"")*(E10:E100&lt;&gt;"")*(H10:H100=E10:E100))/SUMPRODUCT(--((H10:H100&lt;&gt;"")+(E10:E100&lt;&gt;"")&gt;0)),"")</f>
        <v>0.6875</v>
      </c>
      <c r="N7" s="10" cm="1">
        <f t="array" ref="N7">IFERROR(SUMPRODUCT((F10:F100&lt;&gt;"")*(H10:H100&lt;&gt;"")*(F10:F100=H10:H100))/SUMPRODUCT(--((F10:F100&lt;&gt;"")+(H10:H100&lt;&gt;"")&gt;0)),"")</f>
        <v>0.5</v>
      </c>
      <c r="O7" s="10" cm="1">
        <f t="array" ref="O7">IFERROR(SUMPRODUCT((G10:G100&lt;&gt;"")*(H10:H100&lt;&gt;"")*(G10:G100=H10:H100))/SUMPRODUCT(--((G10:G100&lt;&gt;"")+(H10:H100&lt;&gt;"")&gt;0)),"")</f>
        <v>0.7</v>
      </c>
      <c r="Q7" s="1" t="s">
        <v>18</v>
      </c>
      <c r="R7" s="11" cm="1">
        <f t="array" ref="R7">IFERROR(
   SUMPRODUCT((C10:C100&lt;&gt;"")*(H10:H100&lt;&gt;"")*
   ((C10:C100=H10:H100)+((C10:C100=1)*(H10:H100=2))+((C10:C100=2)*(H10:H100=1))))
   /
   SUMPRODUCT(--((C10:C100&lt;&gt;"")+(H10:H100&lt;&gt;"")&gt;0)),
"")</f>
        <v>0.70967741935483875</v>
      </c>
      <c r="S7" s="11" cm="1">
        <f t="array" ref="S7">IFERROR(
   SUMPRODUCT((H10:H100&lt;&gt;"")*(D10:D100&lt;&gt;"")*
   ((H10:H100=D10:D100)+((H10:H100=1)*(D10:D100=2))+((H10:H100=2)*(D10:D100=1))))
   /
   SUMPRODUCT(--((H10:H100&lt;&gt;"")+(D10:D100&lt;&gt;"")&gt;0)),
"")</f>
        <v>0.74193548387096775</v>
      </c>
      <c r="T7" s="11" cm="1">
        <f t="array" ref="T7">IFERROR(
   SUMPRODUCT((H10:H100&lt;&gt;"")*(E10:E100&lt;&gt;"")*
   ((H10:H100=E10:E100)+((H10:H100=1)*(E10:E100=2))+((H10:H100=2)*(E10:E100=1))))
   /
   SUMPRODUCT(--((H10:H100&lt;&gt;"")+(E10:E100&lt;&gt;"")&gt;0)),
"")</f>
        <v>0.78125</v>
      </c>
      <c r="U7" s="10" cm="1">
        <f t="array" ref="U7">IFERROR(
   SUMPRODUCT((F10:F100&lt;&gt;"")*(H10:H100&lt;&gt;"")*
   ((F10:F100=H10:H100)+((F10:F100=1)*(H10:H100=2))+((F10:F100=2)*(H10:H100=1))))
   /
   SUMPRODUCT(--((F10:F100&lt;&gt;"")+(H10:H100&lt;&gt;"")&gt;0)),
"")</f>
        <v>0.6</v>
      </c>
      <c r="V7" s="10" cm="1">
        <f t="array" ref="V7">IFERROR(
   SUMPRODUCT((H10:H100&lt;&gt;"")*(G10:G100&lt;&gt;"")*
   ((H10:H100=G10:G100)+((H10:H100=1)*(G10:G100=2))+((H10:H100=2)*(G10:G100=1))))
   /
   SUMPRODUCT(--((H10:H100&lt;&gt;"")+(G10:G100&lt;&gt;"")&gt;0)),
"")</f>
        <v>0.76666666666666672</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6</v>
      </c>
      <c r="B10" s="2" t="s">
        <v>60</v>
      </c>
      <c r="C10">
        <v>2</v>
      </c>
      <c r="D10">
        <v>2</v>
      </c>
      <c r="E10">
        <v>2</v>
      </c>
      <c r="F10">
        <v>2</v>
      </c>
      <c r="G10">
        <v>2</v>
      </c>
      <c r="H10">
        <v>2</v>
      </c>
    </row>
    <row r="11" spans="1:23" x14ac:dyDescent="0.35">
      <c r="A11" s="1"/>
      <c r="B11" s="2" t="s">
        <v>58</v>
      </c>
      <c r="C11">
        <v>2</v>
      </c>
      <c r="D11">
        <v>2</v>
      </c>
      <c r="E11">
        <v>2</v>
      </c>
      <c r="F11">
        <v>2</v>
      </c>
      <c r="G11">
        <v>2</v>
      </c>
      <c r="H11">
        <v>2</v>
      </c>
    </row>
    <row r="12" spans="1:23" x14ac:dyDescent="0.35">
      <c r="A12" s="1"/>
      <c r="B12" s="2" t="s">
        <v>59</v>
      </c>
      <c r="C12">
        <v>1</v>
      </c>
      <c r="D12">
        <v>2</v>
      </c>
      <c r="E12">
        <v>2</v>
      </c>
      <c r="F12">
        <v>1</v>
      </c>
      <c r="G12">
        <v>2</v>
      </c>
      <c r="H12">
        <v>2</v>
      </c>
    </row>
    <row r="13" spans="1:23" x14ac:dyDescent="0.35">
      <c r="A13" s="1"/>
      <c r="B13" s="2" t="s">
        <v>61</v>
      </c>
      <c r="C13">
        <v>2</v>
      </c>
      <c r="D13">
        <v>2</v>
      </c>
      <c r="E13">
        <v>2</v>
      </c>
      <c r="F13">
        <v>2</v>
      </c>
      <c r="G13">
        <v>2</v>
      </c>
      <c r="H13">
        <v>2</v>
      </c>
    </row>
    <row r="14" spans="1:23" x14ac:dyDescent="0.35">
      <c r="A14" s="1"/>
      <c r="B14" s="2" t="s">
        <v>62</v>
      </c>
      <c r="C14">
        <v>2</v>
      </c>
      <c r="D14">
        <v>2</v>
      </c>
      <c r="E14">
        <v>2</v>
      </c>
      <c r="F14">
        <v>2</v>
      </c>
      <c r="G14">
        <v>2</v>
      </c>
      <c r="H14">
        <v>2</v>
      </c>
    </row>
    <row r="15" spans="1:23" x14ac:dyDescent="0.35">
      <c r="A15" s="1"/>
      <c r="B15" s="2" t="s">
        <v>63</v>
      </c>
      <c r="C15">
        <v>2</v>
      </c>
      <c r="D15">
        <v>1</v>
      </c>
      <c r="E15">
        <v>2</v>
      </c>
      <c r="F15">
        <v>2</v>
      </c>
      <c r="G15">
        <v>2</v>
      </c>
      <c r="H15">
        <v>2</v>
      </c>
    </row>
    <row r="16" spans="1:23" x14ac:dyDescent="0.35">
      <c r="A16" s="1"/>
      <c r="B16" s="2" t="s">
        <v>64</v>
      </c>
      <c r="C16">
        <v>2</v>
      </c>
      <c r="D16">
        <v>2</v>
      </c>
      <c r="E16">
        <v>2</v>
      </c>
      <c r="F16">
        <v>2</v>
      </c>
      <c r="G16">
        <v>2</v>
      </c>
      <c r="H16">
        <v>2</v>
      </c>
    </row>
    <row r="17" spans="1:9" x14ac:dyDescent="0.35">
      <c r="A17" s="1"/>
      <c r="B17" s="2" t="s">
        <v>65</v>
      </c>
      <c r="C17">
        <v>2</v>
      </c>
      <c r="D17">
        <v>2</v>
      </c>
      <c r="E17">
        <v>2</v>
      </c>
      <c r="F17">
        <v>2</v>
      </c>
      <c r="G17">
        <v>2</v>
      </c>
      <c r="H17">
        <v>2</v>
      </c>
    </row>
    <row r="18" spans="1:9" x14ac:dyDescent="0.35">
      <c r="A18" s="1"/>
      <c r="B18" s="2" t="s">
        <v>66</v>
      </c>
      <c r="C18">
        <v>2</v>
      </c>
      <c r="D18">
        <v>2</v>
      </c>
      <c r="E18">
        <v>2</v>
      </c>
      <c r="F18">
        <v>2</v>
      </c>
      <c r="G18">
        <v>2</v>
      </c>
      <c r="H18">
        <v>2</v>
      </c>
    </row>
    <row r="19" spans="1:9" ht="29" x14ac:dyDescent="0.35">
      <c r="A19" s="1"/>
      <c r="B19" s="2" t="s">
        <v>67</v>
      </c>
      <c r="C19">
        <v>2</v>
      </c>
      <c r="D19">
        <v>2</v>
      </c>
      <c r="E19">
        <v>2</v>
      </c>
      <c r="F19">
        <v>2</v>
      </c>
      <c r="G19">
        <v>2</v>
      </c>
      <c r="H19">
        <v>1</v>
      </c>
    </row>
    <row r="20" spans="1:9" x14ac:dyDescent="0.35">
      <c r="A20" s="1"/>
      <c r="B20" s="2" t="s">
        <v>68</v>
      </c>
      <c r="C20">
        <v>2</v>
      </c>
      <c r="D20">
        <v>2</v>
      </c>
      <c r="E20">
        <v>2</v>
      </c>
      <c r="F20">
        <v>2</v>
      </c>
      <c r="G20">
        <v>2</v>
      </c>
      <c r="H20">
        <v>2</v>
      </c>
    </row>
    <row r="21" spans="1:9" x14ac:dyDescent="0.35">
      <c r="A21" s="1"/>
      <c r="B21" s="2" t="s">
        <v>69</v>
      </c>
      <c r="C21">
        <v>2</v>
      </c>
      <c r="D21">
        <v>2</v>
      </c>
      <c r="E21">
        <v>2</v>
      </c>
      <c r="F21">
        <v>2</v>
      </c>
      <c r="G21">
        <v>2</v>
      </c>
      <c r="H21">
        <v>2</v>
      </c>
    </row>
    <row r="22" spans="1:9" ht="15.75" customHeight="1" x14ac:dyDescent="0.35">
      <c r="A22" s="1"/>
      <c r="B22" s="2" t="s">
        <v>70</v>
      </c>
      <c r="C22">
        <v>2</v>
      </c>
      <c r="D22">
        <v>2</v>
      </c>
      <c r="E22">
        <v>2</v>
      </c>
      <c r="F22">
        <v>2</v>
      </c>
      <c r="G22">
        <v>2</v>
      </c>
      <c r="H22">
        <v>2</v>
      </c>
    </row>
    <row r="23" spans="1:9" ht="29" x14ac:dyDescent="0.35">
      <c r="A23" s="1" t="s">
        <v>19</v>
      </c>
      <c r="B23" s="2" t="s">
        <v>71</v>
      </c>
      <c r="C23">
        <v>2</v>
      </c>
      <c r="D23">
        <v>2</v>
      </c>
      <c r="E23">
        <v>2</v>
      </c>
      <c r="F23">
        <v>2</v>
      </c>
      <c r="G23">
        <v>2</v>
      </c>
      <c r="H23">
        <v>2</v>
      </c>
    </row>
    <row r="24" spans="1:9" x14ac:dyDescent="0.35">
      <c r="A24" s="1"/>
      <c r="B24" s="2" t="s">
        <v>72</v>
      </c>
      <c r="C24">
        <v>2</v>
      </c>
      <c r="D24">
        <v>2</v>
      </c>
      <c r="E24">
        <v>2</v>
      </c>
      <c r="F24">
        <v>2</v>
      </c>
      <c r="G24">
        <v>2</v>
      </c>
      <c r="H24">
        <v>2</v>
      </c>
    </row>
    <row r="25" spans="1:9" x14ac:dyDescent="0.35">
      <c r="A25" s="1"/>
      <c r="B25" s="2" t="s">
        <v>73</v>
      </c>
      <c r="C25">
        <v>2</v>
      </c>
      <c r="D25">
        <v>2</v>
      </c>
      <c r="E25">
        <v>1</v>
      </c>
      <c r="F25">
        <v>2</v>
      </c>
      <c r="G25">
        <v>2</v>
      </c>
      <c r="H25">
        <v>2</v>
      </c>
    </row>
    <row r="26" spans="1:9" x14ac:dyDescent="0.35">
      <c r="A26" s="1"/>
      <c r="B26" s="2" t="s">
        <v>74</v>
      </c>
      <c r="C26">
        <v>2</v>
      </c>
      <c r="D26">
        <v>2</v>
      </c>
      <c r="E26">
        <v>2</v>
      </c>
      <c r="F26">
        <v>2</v>
      </c>
      <c r="G26">
        <v>2</v>
      </c>
      <c r="H26">
        <v>2</v>
      </c>
    </row>
    <row r="27" spans="1:9" x14ac:dyDescent="0.35">
      <c r="A27" s="1"/>
      <c r="B27" s="2" t="s">
        <v>75</v>
      </c>
      <c r="C27">
        <v>2</v>
      </c>
      <c r="D27">
        <v>2</v>
      </c>
      <c r="E27">
        <v>2</v>
      </c>
      <c r="F27">
        <v>2</v>
      </c>
      <c r="G27">
        <v>2</v>
      </c>
      <c r="H27">
        <v>2</v>
      </c>
    </row>
    <row r="28" spans="1:9" x14ac:dyDescent="0.35">
      <c r="A28" s="1" t="s">
        <v>20</v>
      </c>
      <c r="B28" s="2" t="s">
        <v>76</v>
      </c>
      <c r="C28">
        <v>1</v>
      </c>
      <c r="D28">
        <v>1</v>
      </c>
      <c r="E28">
        <v>1</v>
      </c>
      <c r="F28">
        <v>1</v>
      </c>
      <c r="G28">
        <v>1</v>
      </c>
      <c r="H28">
        <v>1</v>
      </c>
    </row>
    <row r="29" spans="1:9" x14ac:dyDescent="0.35">
      <c r="A29" s="1"/>
      <c r="B29" s="2" t="s">
        <v>77</v>
      </c>
      <c r="C29">
        <v>2</v>
      </c>
      <c r="D29">
        <v>2</v>
      </c>
      <c r="E29">
        <v>2</v>
      </c>
      <c r="F29">
        <v>2</v>
      </c>
      <c r="G29">
        <v>2</v>
      </c>
      <c r="H29">
        <v>2</v>
      </c>
    </row>
    <row r="30" spans="1:9" x14ac:dyDescent="0.35">
      <c r="A30" s="1"/>
      <c r="B30" s="2" t="s">
        <v>78</v>
      </c>
      <c r="C30">
        <v>2</v>
      </c>
      <c r="D30">
        <v>2</v>
      </c>
      <c r="E30">
        <v>2</v>
      </c>
      <c r="F30">
        <v>2</v>
      </c>
      <c r="G30">
        <v>2</v>
      </c>
      <c r="H30">
        <v>1</v>
      </c>
    </row>
    <row r="31" spans="1:9" x14ac:dyDescent="0.35">
      <c r="B31" s="2" t="s">
        <v>79</v>
      </c>
      <c r="C31">
        <v>2</v>
      </c>
      <c r="D31">
        <v>2</v>
      </c>
      <c r="E31">
        <v>2</v>
      </c>
      <c r="F31">
        <v>1</v>
      </c>
      <c r="G31">
        <v>2</v>
      </c>
      <c r="H31">
        <v>2</v>
      </c>
    </row>
    <row r="32" spans="1:9" s="3" customFormat="1" x14ac:dyDescent="0.35">
      <c r="B32" s="4"/>
      <c r="F32" s="4"/>
      <c r="G32" s="4"/>
      <c r="H32" s="4"/>
      <c r="I32" s="4"/>
    </row>
    <row r="33" spans="1:8" x14ac:dyDescent="0.35">
      <c r="A33" s="1" t="s">
        <v>21</v>
      </c>
      <c r="B33" s="2" t="s">
        <v>84</v>
      </c>
      <c r="C33">
        <v>1</v>
      </c>
    </row>
    <row r="34" spans="1:8" x14ac:dyDescent="0.35">
      <c r="B34" s="2" t="s">
        <v>80</v>
      </c>
      <c r="C34">
        <v>0</v>
      </c>
      <c r="F34">
        <v>0</v>
      </c>
    </row>
    <row r="35" spans="1:8" x14ac:dyDescent="0.35">
      <c r="B35" s="2" t="s">
        <v>81</v>
      </c>
      <c r="C35">
        <v>0</v>
      </c>
      <c r="F35">
        <v>0</v>
      </c>
    </row>
    <row r="36" spans="1:8" x14ac:dyDescent="0.35">
      <c r="B36" s="2" t="s">
        <v>82</v>
      </c>
      <c r="D36">
        <v>1</v>
      </c>
      <c r="E36">
        <v>1</v>
      </c>
      <c r="F36">
        <v>1</v>
      </c>
      <c r="G36">
        <v>1</v>
      </c>
      <c r="H36">
        <v>1</v>
      </c>
    </row>
    <row r="37" spans="1:8" x14ac:dyDescent="0.35">
      <c r="B37" s="2" t="s">
        <v>83</v>
      </c>
      <c r="D37">
        <v>1</v>
      </c>
      <c r="E37">
        <v>1</v>
      </c>
    </row>
    <row r="38" spans="1:8" x14ac:dyDescent="0.35">
      <c r="B38" s="2" t="s">
        <v>84</v>
      </c>
      <c r="D38">
        <v>1</v>
      </c>
      <c r="E38">
        <v>1</v>
      </c>
    </row>
    <row r="39" spans="1:8" x14ac:dyDescent="0.35">
      <c r="B39" s="2" t="s">
        <v>85</v>
      </c>
      <c r="D39">
        <v>1</v>
      </c>
      <c r="E39">
        <v>1</v>
      </c>
    </row>
    <row r="40" spans="1:8" x14ac:dyDescent="0.35">
      <c r="B40" s="2" t="s">
        <v>83</v>
      </c>
      <c r="E40">
        <v>1</v>
      </c>
    </row>
    <row r="41" spans="1:8" x14ac:dyDescent="0.35">
      <c r="B41" s="2" t="s">
        <v>87</v>
      </c>
      <c r="E41">
        <v>1</v>
      </c>
      <c r="H41">
        <v>1</v>
      </c>
    </row>
    <row r="42" spans="1:8" x14ac:dyDescent="0.35">
      <c r="B42" s="2" t="s">
        <v>86</v>
      </c>
      <c r="E42">
        <v>1</v>
      </c>
      <c r="H42">
        <v>1</v>
      </c>
    </row>
    <row r="43" spans="1:8" x14ac:dyDescent="0.35">
      <c r="B43" s="2" t="s">
        <v>88</v>
      </c>
      <c r="F43">
        <v>0</v>
      </c>
    </row>
    <row r="44" spans="1:8" x14ac:dyDescent="0.35">
      <c r="B44" s="2" t="s">
        <v>89</v>
      </c>
      <c r="F44">
        <v>0</v>
      </c>
    </row>
    <row r="45" spans="1:8" x14ac:dyDescent="0.35">
      <c r="B45" s="2" t="s">
        <v>90</v>
      </c>
      <c r="F45">
        <v>0</v>
      </c>
    </row>
    <row r="46" spans="1:8" x14ac:dyDescent="0.35">
      <c r="B46" s="2" t="s">
        <v>91</v>
      </c>
      <c r="F46">
        <v>0</v>
      </c>
    </row>
    <row r="47" spans="1:8" x14ac:dyDescent="0.35">
      <c r="B47" s="2" t="s">
        <v>92</v>
      </c>
      <c r="F47">
        <v>1</v>
      </c>
    </row>
    <row r="48" spans="1:8" x14ac:dyDescent="0.35">
      <c r="B48" s="2" t="s">
        <v>93</v>
      </c>
      <c r="F48">
        <v>0</v>
      </c>
    </row>
    <row r="49" spans="2:8" x14ac:dyDescent="0.35">
      <c r="B49" s="2" t="s">
        <v>94</v>
      </c>
      <c r="F49">
        <v>0</v>
      </c>
    </row>
    <row r="50" spans="2:8" x14ac:dyDescent="0.35">
      <c r="B50" s="2" t="s">
        <v>95</v>
      </c>
      <c r="F50">
        <v>0</v>
      </c>
    </row>
    <row r="51" spans="2:8" x14ac:dyDescent="0.35">
      <c r="B51" s="2" t="s">
        <v>96</v>
      </c>
      <c r="F51">
        <v>0</v>
      </c>
    </row>
    <row r="52" spans="2:8" x14ac:dyDescent="0.35">
      <c r="B52" s="2" t="s">
        <v>97</v>
      </c>
      <c r="F52">
        <v>1</v>
      </c>
      <c r="H52">
        <v>1</v>
      </c>
    </row>
    <row r="53" spans="2:8" x14ac:dyDescent="0.35">
      <c r="B53" s="2" t="s">
        <v>98</v>
      </c>
      <c r="F53">
        <v>0</v>
      </c>
    </row>
    <row r="54" spans="2:8" x14ac:dyDescent="0.35">
      <c r="B54" s="2" t="s">
        <v>99</v>
      </c>
      <c r="G54">
        <v>0</v>
      </c>
    </row>
    <row r="55" spans="2:8" x14ac:dyDescent="0.35">
      <c r="B55" s="2" t="s">
        <v>100</v>
      </c>
      <c r="G55">
        <v>1</v>
      </c>
    </row>
    <row r="56" spans="2:8" x14ac:dyDescent="0.35">
      <c r="B56" s="2" t="s">
        <v>101</v>
      </c>
      <c r="H56">
        <v>0</v>
      </c>
    </row>
    <row r="57" spans="2:8" x14ac:dyDescent="0.35">
      <c r="B57" s="2" t="s">
        <v>102</v>
      </c>
      <c r="H57">
        <v>1</v>
      </c>
    </row>
  </sheetData>
  <conditionalFormatting sqref="C11:C29">
    <cfRule type="iconSet" priority="32">
      <iconSet iconSet="3Symbols">
        <cfvo type="percent" val="0"/>
        <cfvo type="num" val="1"/>
        <cfvo type="num" val="2"/>
      </iconSet>
    </cfRule>
    <cfRule type="iconSet" priority="33">
      <iconSet iconSet="3Symbols">
        <cfvo type="percent" val="0"/>
        <cfvo type="percent" val="33"/>
        <cfvo type="percent" val="67"/>
      </iconSet>
    </cfRule>
  </conditionalFormatting>
  <conditionalFormatting sqref="C30:C31 C10">
    <cfRule type="iconSet" priority="139">
      <iconSet iconSet="3Symbols">
        <cfvo type="percent" val="0"/>
        <cfvo type="percent" val="33"/>
        <cfvo type="percent" val="67"/>
      </iconSet>
    </cfRule>
    <cfRule type="iconSet" priority="141">
      <iconSet iconSet="3Symbols">
        <cfvo type="percent" val="0"/>
        <cfvo type="num" val="1"/>
        <cfvo type="num" val="2"/>
      </iconSet>
    </cfRule>
  </conditionalFormatting>
  <conditionalFormatting sqref="C33:E42">
    <cfRule type="iconSet" priority="38">
      <iconSet iconSet="3Symbols">
        <cfvo type="percent" val="0"/>
        <cfvo type="num" val="1"/>
        <cfvo type="num" val="2"/>
      </iconSet>
    </cfRule>
    <cfRule type="iconSet" priority="39">
      <iconSet iconSet="3Symbols">
        <cfvo type="percent" val="0"/>
        <cfvo type="percent" val="33"/>
        <cfvo type="percent" val="67"/>
      </iconSet>
    </cfRule>
  </conditionalFormatting>
  <conditionalFormatting sqref="D10 D30:D31">
    <cfRule type="iconSet" priority="30">
      <iconSet iconSet="3Symbols">
        <cfvo type="percent" val="0"/>
        <cfvo type="percent" val="33"/>
        <cfvo type="percent" val="67"/>
      </iconSet>
    </cfRule>
    <cfRule type="iconSet" priority="31">
      <iconSet iconSet="3Symbols">
        <cfvo type="percent" val="0"/>
        <cfvo type="num" val="1"/>
        <cfvo type="num" val="2"/>
      </iconSet>
    </cfRule>
  </conditionalFormatting>
  <conditionalFormatting sqref="D11:D29">
    <cfRule type="iconSet" priority="28">
      <iconSet iconSet="3Symbols">
        <cfvo type="percent" val="0"/>
        <cfvo type="num" val="1"/>
        <cfvo type="num" val="2"/>
      </iconSet>
    </cfRule>
    <cfRule type="iconSet" priority="29">
      <iconSet iconSet="3Symbols">
        <cfvo type="percent" val="0"/>
        <cfvo type="percent" val="33"/>
        <cfvo type="percent" val="67"/>
      </iconSet>
    </cfRule>
  </conditionalFormatting>
  <conditionalFormatting sqref="D46:E57">
    <cfRule type="iconSet" priority="190">
      <iconSet iconSet="3Symbols">
        <cfvo type="percent" val="0"/>
        <cfvo type="percent" val="33"/>
        <cfvo type="percent" val="67"/>
      </iconSet>
    </cfRule>
    <cfRule type="iconSet" priority="192">
      <iconSet iconSet="3Symbols">
        <cfvo type="percent" val="0"/>
        <cfvo type="num" val="1"/>
        <cfvo type="num" val="2"/>
      </iconSet>
    </cfRule>
  </conditionalFormatting>
  <conditionalFormatting sqref="E10:E29">
    <cfRule type="iconSet" priority="20">
      <iconSet iconSet="3Symbols">
        <cfvo type="percent" val="0"/>
        <cfvo type="num" val="1"/>
        <cfvo type="num" val="2"/>
      </iconSet>
    </cfRule>
    <cfRule type="iconSet" priority="21">
      <iconSet iconSet="3Symbols">
        <cfvo type="percent" val="0"/>
        <cfvo type="percent" val="33"/>
        <cfvo type="percent" val="67"/>
      </iconSet>
    </cfRule>
  </conditionalFormatting>
  <conditionalFormatting sqref="E30:E31">
    <cfRule type="iconSet" priority="24">
      <iconSet iconSet="3Symbols">
        <cfvo type="percent" val="0"/>
        <cfvo type="percent" val="33"/>
        <cfvo type="percent" val="67"/>
      </iconSet>
    </cfRule>
    <cfRule type="iconSet" priority="25">
      <iconSet iconSet="3Symbols">
        <cfvo type="percent" val="0"/>
        <cfvo type="num" val="1"/>
        <cfvo type="num" val="2"/>
      </iconSet>
    </cfRule>
  </conditionalFormatting>
  <conditionalFormatting sqref="F10 F30">
    <cfRule type="iconSet" priority="18">
      <iconSet iconSet="3Symbols">
        <cfvo type="percent" val="0"/>
        <cfvo type="percent" val="33"/>
        <cfvo type="percent" val="67"/>
      </iconSet>
    </cfRule>
    <cfRule type="iconSet" priority="19">
      <iconSet iconSet="3Symbols">
        <cfvo type="percent" val="0"/>
        <cfvo type="num" val="1"/>
        <cfvo type="num" val="2"/>
      </iconSet>
    </cfRule>
  </conditionalFormatting>
  <conditionalFormatting sqref="F11:F29">
    <cfRule type="iconSet" priority="16">
      <iconSet iconSet="3Symbols">
        <cfvo type="percent" val="0"/>
        <cfvo type="num" val="1"/>
        <cfvo type="num" val="2"/>
      </iconSet>
    </cfRule>
    <cfRule type="iconSet" priority="17">
      <iconSet iconSet="3Symbols">
        <cfvo type="percent" val="0"/>
        <cfvo type="percent" val="33"/>
        <cfvo type="percent" val="67"/>
      </iconSet>
    </cfRule>
  </conditionalFormatting>
  <conditionalFormatting sqref="F31">
    <cfRule type="iconSet" priority="14">
      <iconSet iconSet="3Symbols">
        <cfvo type="percent" val="0"/>
        <cfvo type="num" val="1"/>
        <cfvo type="num" val="2"/>
      </iconSet>
    </cfRule>
    <cfRule type="iconSet" priority="15">
      <iconSet iconSet="3Symbols">
        <cfvo type="percent" val="0"/>
        <cfvo type="percent" val="33"/>
        <cfvo type="percent" val="67"/>
      </iconSet>
    </cfRule>
  </conditionalFormatting>
  <conditionalFormatting sqref="F33:H33 C46:C50 C39:E45">
    <cfRule type="iconSet" priority="181">
      <iconSet iconSet="3Symbols">
        <cfvo type="percent" val="0"/>
        <cfvo type="percent" val="33"/>
        <cfvo type="percent" val="67"/>
      </iconSet>
    </cfRule>
    <cfRule type="iconSet" priority="189">
      <iconSet iconSet="3Symbols">
        <cfvo type="percent" val="0"/>
        <cfvo type="num" val="1"/>
        <cfvo type="num" val="2"/>
      </iconSet>
    </cfRule>
  </conditionalFormatting>
  <conditionalFormatting sqref="F34:I70">
    <cfRule type="iconSet" priority="4">
      <iconSet iconSet="3Symbols">
        <cfvo type="percent" val="0"/>
        <cfvo type="num" val="1"/>
        <cfvo type="num" val="2"/>
      </iconSet>
    </cfRule>
    <cfRule type="iconSet" priority="5">
      <iconSet iconSet="3Symbols">
        <cfvo type="percent" val="0"/>
        <cfvo type="percent" val="33"/>
        <cfvo type="percent" val="67"/>
      </iconSet>
    </cfRule>
  </conditionalFormatting>
  <conditionalFormatting sqref="G10:G31">
    <cfRule type="iconSet" priority="6">
      <iconSet iconSet="3Symbols">
        <cfvo type="percent" val="0"/>
        <cfvo type="num" val="1"/>
        <cfvo type="num" val="2"/>
      </iconSet>
    </cfRule>
    <cfRule type="iconSet" priority="7">
      <iconSet iconSet="3Symbols">
        <cfvo type="percent" val="0"/>
        <cfvo type="percent" val="33"/>
        <cfvo type="percent" val="67"/>
      </iconSet>
    </cfRule>
  </conditionalFormatting>
  <conditionalFormatting sqref="H10:H31">
    <cfRule type="iconSet" priority="2">
      <iconSet iconSet="3Symbols">
        <cfvo type="percent" val="0"/>
        <cfvo type="num" val="1"/>
        <cfvo type="num" val="2"/>
      </iconSet>
    </cfRule>
    <cfRule type="iconSet" priority="3">
      <iconSet iconSet="3Symbols">
        <cfvo type="percent" val="0"/>
        <cfvo type="percent" val="33"/>
        <cfvo type="percent" val="67"/>
      </iconSet>
    </cfRule>
  </conditionalFormatting>
  <conditionalFormatting sqref="I10:I31 I33">
    <cfRule type="iconSet" priority="46">
      <iconSet>
        <cfvo type="percent" val="0"/>
        <cfvo type="num" val="1"/>
        <cfvo type="num" val="2"/>
      </iconSet>
    </cfRule>
  </conditionalFormatting>
  <conditionalFormatting sqref="J10:J19 J22:J46">
    <cfRule type="iconSet" priority="1">
      <iconSet>
        <cfvo type="percent" val="0"/>
        <cfvo type="num" val="1"/>
        <cfvo type="num" val="2"/>
      </iconSet>
    </cfRule>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18EB4-94CB-4F83-A022-C312C53EE82B}">
  <dimension ref="A1:W31"/>
  <sheetViews>
    <sheetView workbookViewId="0">
      <selection activeCell="I7" sqref="I7"/>
    </sheetView>
  </sheetViews>
  <sheetFormatPr defaultRowHeight="14.5" x14ac:dyDescent="0.35"/>
  <cols>
    <col min="1" max="1" width="28" customWidth="1"/>
    <col min="2" max="2" width="35.453125" style="2" customWidth="1"/>
    <col min="3" max="8" width="15.453125" customWidth="1"/>
    <col min="10" max="10" width="12.54296875" customWidth="1"/>
    <col min="17" max="17" width="14.26953125" customWidth="1"/>
  </cols>
  <sheetData>
    <row r="1" spans="1:23" x14ac:dyDescent="0.35">
      <c r="A1" s="1" t="s">
        <v>352</v>
      </c>
      <c r="C1">
        <f xml:space="preserve"> SUM(C3:C4) / (C3+ C4+ C7) * 100</f>
        <v>100</v>
      </c>
      <c r="D1">
        <f t="shared" ref="D1:H1" si="0" xml:space="preserve"> SUM(D3:D4) / (D3+ D4+ D7) * 100</f>
        <v>100</v>
      </c>
      <c r="E1">
        <f t="shared" si="0"/>
        <v>100</v>
      </c>
      <c r="F1">
        <f t="shared" si="0"/>
        <v>100</v>
      </c>
      <c r="G1">
        <f t="shared" si="0"/>
        <v>92.857142857142861</v>
      </c>
      <c r="H1">
        <f t="shared" si="0"/>
        <v>92.857142857142861</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100</v>
      </c>
      <c r="D2">
        <f t="shared" ref="D2:H2" si="1" xml:space="preserve"> SUM(D3:D4) / SUM(D3:D5) *100</f>
        <v>100</v>
      </c>
      <c r="E2">
        <f t="shared" si="1"/>
        <v>100</v>
      </c>
      <c r="F2">
        <f t="shared" si="1"/>
        <v>100</v>
      </c>
      <c r="G2">
        <f t="shared" si="1"/>
        <v>100</v>
      </c>
      <c r="H2">
        <f t="shared" si="1"/>
        <v>100</v>
      </c>
      <c r="J2" s="1" t="s">
        <v>13</v>
      </c>
      <c r="K2" s="10"/>
      <c r="L2" s="10"/>
      <c r="M2" s="10"/>
      <c r="Q2" s="1" t="s">
        <v>13</v>
      </c>
      <c r="R2" s="10"/>
      <c r="S2" s="10"/>
      <c r="T2" s="10"/>
    </row>
    <row r="3" spans="1:23" x14ac:dyDescent="0.35">
      <c r="A3" s="1" t="s">
        <v>242</v>
      </c>
      <c r="C3" s="2">
        <f>COUNTIF(C10:C22, 2)</f>
        <v>13</v>
      </c>
      <c r="D3" s="2">
        <f t="shared" ref="D3:H3" si="2">COUNTIF(D10:D22, 2)</f>
        <v>13</v>
      </c>
      <c r="E3" s="2">
        <f t="shared" si="2"/>
        <v>13</v>
      </c>
      <c r="F3" s="2">
        <f t="shared" si="2"/>
        <v>11</v>
      </c>
      <c r="G3" s="2">
        <f t="shared" si="2"/>
        <v>13</v>
      </c>
      <c r="H3" s="2">
        <f t="shared" si="2"/>
        <v>13</v>
      </c>
      <c r="J3" s="1" t="s">
        <v>14</v>
      </c>
      <c r="K3" s="10" cm="1">
        <f t="array" ref="K3">IFERROR(SUMPRODUCT((C10:C100&lt;&gt;"")*(D10:D100&lt;&gt;"")*(C10:C100=D10:D100))/SUMPRODUCT(--((C10:C100&lt;&gt;"")+(D10:D100&lt;&gt;"")&gt;0)),"")</f>
        <v>0.93333333333333335</v>
      </c>
      <c r="L3" s="10"/>
      <c r="M3" s="10"/>
      <c r="Q3" s="1" t="s">
        <v>14</v>
      </c>
      <c r="R3" s="10" cm="1">
        <f t="array" ref="R3">IFERROR(
   SUMPRODUCT((C10:C100&lt;&gt;"")*(D10:D100&lt;&gt;"")*
   ((C10:C100=D10:D100)+((C10:C100=1)*(D10:D100=2))+((C10:C100=2)*(D10:D100=1))))
   /
   SUMPRODUCT(--((C10:C100&lt;&gt;"")+(D10:D100&lt;&gt;"")&gt;0)),
"")</f>
        <v>0.93333333333333335</v>
      </c>
      <c r="S3" s="10"/>
      <c r="T3" s="10"/>
    </row>
    <row r="4" spans="1:23" x14ac:dyDescent="0.35">
      <c r="A4" s="1" t="s">
        <v>243</v>
      </c>
      <c r="C4">
        <f>COUNTIF(C10:C22, 1)</f>
        <v>0</v>
      </c>
      <c r="D4">
        <f t="shared" ref="D4:H4" si="3">COUNTIF(D10:D22, 1)</f>
        <v>0</v>
      </c>
      <c r="E4">
        <f t="shared" si="3"/>
        <v>0</v>
      </c>
      <c r="F4">
        <f t="shared" si="3"/>
        <v>2</v>
      </c>
      <c r="G4">
        <f t="shared" si="3"/>
        <v>0</v>
      </c>
      <c r="H4">
        <f t="shared" si="3"/>
        <v>0</v>
      </c>
      <c r="J4" s="1" t="s">
        <v>15</v>
      </c>
      <c r="K4" s="10" cm="1">
        <f t="array" ref="K4">IFERROR(SUMPRODUCT((C10:C100&lt;&gt;"")*(E10:E100&lt;&gt;"")*(C10:C100=E10:E100))/SUMPRODUCT(--((C10:C100&lt;&gt;"")+(E10:E100&lt;&gt;"")&gt;0)),"")</f>
        <v>0.93333333333333335</v>
      </c>
      <c r="L4" s="10" cm="1">
        <f t="array" ref="L4">IFERROR(SUMPRODUCT((E10:E100&lt;&gt;"")*(D10:D100&lt;&gt;"")*(E10:E100=D10:D100))/SUMPRODUCT(--((E10:E100&lt;&gt;"")+(D10:D100&lt;&gt;"")&gt;0)),"")</f>
        <v>1</v>
      </c>
      <c r="M4" s="10"/>
      <c r="Q4" s="1" t="s">
        <v>15</v>
      </c>
      <c r="R4" s="10" cm="1">
        <f t="array" ref="R4">IFERROR(
   SUMPRODUCT((C10:C100&lt;&gt;"")*(E10:E100&lt;&gt;"")*
   ((C10:C100=E10:E100)+((C10:C100=1)*(E10:E100=2))+((C10:C100=2)*(E10:E100=1))))
   /
   SUMPRODUCT(--((C10:C100&lt;&gt;"")+(E10:E100&lt;&gt;"")&gt;0)),
"")</f>
        <v>0.93333333333333335</v>
      </c>
      <c r="S4" s="10" cm="1">
        <f t="array" ref="S4">IFERROR(
   SUMPRODUCT((E10:E100&lt;&gt;"")*(D10:D100&lt;&gt;"")*
   ((E10:E100=D10:D100)+((E10:E100=1)*(D10:D100=2))+((E10:E100=2)*(D10:D100=1))))
   /
   SUMPRODUCT(--((E10:E100&lt;&gt;"")+(D10:D100&lt;&gt;"")&gt;0)),
"")</f>
        <v>1</v>
      </c>
      <c r="T4" s="10"/>
    </row>
    <row r="5" spans="1:23" x14ac:dyDescent="0.35">
      <c r="A5" s="1" t="s">
        <v>244</v>
      </c>
      <c r="C5">
        <f>COUNTIF(C10:C22, 0)</f>
        <v>0</v>
      </c>
      <c r="D5">
        <f t="shared" ref="D5:H5" si="4">COUNTIF(D10:D22, 0)</f>
        <v>0</v>
      </c>
      <c r="E5">
        <f t="shared" si="4"/>
        <v>0</v>
      </c>
      <c r="F5">
        <f t="shared" si="4"/>
        <v>0</v>
      </c>
      <c r="G5">
        <f t="shared" si="4"/>
        <v>0</v>
      </c>
      <c r="H5">
        <f t="shared" si="4"/>
        <v>0</v>
      </c>
      <c r="J5" s="1" t="s">
        <v>16</v>
      </c>
      <c r="K5" s="11" cm="1">
        <f t="array" ref="K5">IFERROR(SUMPRODUCT((C10:C100&lt;&gt;"")*(F10:F100&lt;&gt;"")*(C10:C100=F10:F100))/SUMPRODUCT(--((C10:C100&lt;&gt;"")+(F10:F100&lt;&gt;"")&gt;0)),"")</f>
        <v>0.73333333333333328</v>
      </c>
      <c r="L5" s="11" cm="1">
        <f t="array" ref="L5">IFERROR(SUMPRODUCT((F10:F100&lt;&gt;"")*(D10:D100&lt;&gt;"")*(F10:F100=D10:D100))/SUMPRODUCT(--((F10:F100&lt;&gt;"")+(D10:D100&lt;&gt;"")&gt;0)),"")</f>
        <v>0.6875</v>
      </c>
      <c r="M5" s="11" cm="1">
        <f t="array" ref="M5">IFERROR(SUMPRODUCT((F10:F100&lt;&gt;"")*(E10:E100&lt;&gt;"")*(F10:F100=E10:E100))/SUMPRODUCT(--((F10:F100&lt;&gt;"")+(E10:E100&lt;&gt;"")&gt;0)),"")</f>
        <v>0.6875</v>
      </c>
      <c r="N5" s="10"/>
      <c r="O5" s="10"/>
      <c r="Q5" s="1" t="s">
        <v>16</v>
      </c>
      <c r="R5" s="11" cm="1">
        <f t="array" ref="R5">IFERROR(
   SUMPRODUCT((C10:C100&lt;&gt;"")*(F10:F100&lt;&gt;"")*
   ((C10:C100=F10:F100)+((C10:C100=1)*(F10:F100=2))+((C10:C100=2)*(F10:F100=1))))
   /
   SUMPRODUCT(--((C10:C100&lt;&gt;"")+(F10:F100&lt;&gt;"")&gt;0)),
"")</f>
        <v>0.8666666666666667</v>
      </c>
      <c r="S5" s="11" cm="1">
        <f t="array" ref="S5">IFERROR(
   SUMPRODUCT((F10:F100&lt;&gt;"")*(D10:D100&lt;&gt;"")*
   ((F10:F100=D10:D100)+((F10:F100=1)*(D10:D100=2))+((F10:F100=2)*(D10:D100=1))))
   /
   SUMPRODUCT(--((F10:F100&lt;&gt;"")+(D10:D100&lt;&gt;"")&gt;0)),
"")</f>
        <v>0.8125</v>
      </c>
      <c r="T5" s="11" cm="1">
        <f t="array" ref="T5">IFERROR(
   SUMPRODUCT((F10:F100&lt;&gt;"")*(E10:E100&lt;&gt;"")*
   ((F10:F100=E10:E100)+((F10:F100=1)*(E10:E100=2))+((F10:F100=2)*(E10:E100=1))))
   /
   SUMPRODUCT(--((F10:F100&lt;&gt;"")+(E10:E100&lt;&gt;"")&gt;0)),
"")</f>
        <v>0.8125</v>
      </c>
      <c r="U5" s="10"/>
      <c r="V5" s="10"/>
    </row>
    <row r="6" spans="1:23" x14ac:dyDescent="0.35">
      <c r="A6" s="1" t="s">
        <v>245</v>
      </c>
      <c r="C6">
        <f>COUNTIF(C24:C29,0) + COUNTIF(C24:C29,1)</f>
        <v>1</v>
      </c>
      <c r="D6">
        <f t="shared" ref="D6:H6" si="5">COUNTIF(D24:D29,0) + COUNTIF(D24:D29,1)</f>
        <v>2</v>
      </c>
      <c r="E6">
        <f t="shared" si="5"/>
        <v>2</v>
      </c>
      <c r="F6">
        <f t="shared" si="5"/>
        <v>1</v>
      </c>
      <c r="G6">
        <f t="shared" si="5"/>
        <v>1</v>
      </c>
      <c r="H6">
        <f t="shared" si="5"/>
        <v>2</v>
      </c>
      <c r="J6" s="1" t="s">
        <v>17</v>
      </c>
      <c r="K6" s="11" cm="1">
        <f t="array" ref="K6">IFERROR(SUMPRODUCT((C10:C100&lt;&gt;"")*(G10:G100&lt;&gt;"")*(C10:C100=G10:G100))/SUMPRODUCT(--((C10:C100&lt;&gt;"")+(G10:G100&lt;&gt;"")&gt;0)),"")</f>
        <v>0.8666666666666667</v>
      </c>
      <c r="L6" s="11" cm="1">
        <f t="array" ref="L6">SUMPRODUCT((D10:D100&lt;&gt;0)*(G10:G100&lt;&gt;0)) / SUMPRODUCT(((D10:D100&lt;&gt;0)+(G10:G100&lt;&gt;0)&gt;0)*1)</f>
        <v>0.8666666666666667</v>
      </c>
      <c r="M6" s="11" cm="1">
        <f t="array" ref="M6">IFERROR(SUMPRODUCT((G10:G100&lt;&gt;"")*(E10:E100&lt;&gt;"")*(G10:G100=E10:E100))/SUMPRODUCT(--((G10:G100&lt;&gt;"")+(E10:E100&lt;&gt;"")&gt;0)),"")</f>
        <v>0.8125</v>
      </c>
      <c r="N6" s="10" cm="1">
        <f t="array" ref="N6">IFERROR(SUMPRODUCT((G10:G100&lt;&gt;"")*(F10:F100&lt;&gt;"")*(G10:G100=F10:F100))/SUMPRODUCT(--((G10:G100&lt;&gt;"")+(F10:F100&lt;&gt;"")&gt;0)),"")</f>
        <v>0.73333333333333328</v>
      </c>
      <c r="O6" s="10"/>
      <c r="Q6" s="1" t="s">
        <v>17</v>
      </c>
      <c r="R6" s="11" cm="1">
        <f t="array" ref="R6">IFERROR(
   SUMPRODUCT((C10:C100&lt;&gt;"")*(G10:G100&lt;&gt;"")*
   ((C10:C100=G10:G100)+((C10:C100=1)*(G10:G100=2))+((C10:C100=2)*(G10:G100=1))))
   /
   SUMPRODUCT(--((C10:C100&lt;&gt;"")+(G10:G100&lt;&gt;"")&gt;0)),
"")</f>
        <v>0.8666666666666667</v>
      </c>
      <c r="S6" s="11" cm="1">
        <f t="array" ref="S6">IFERROR(
   SUMPRODUCT((D10:D100&lt;&gt;"")*(G10:G100&lt;&gt;"")*
   ((D10:D100=G10:G100)+((D10:D100=1)*(G10:G100=2))+((D10:D100=2)*(G10:G100=1))))
   /
   SUMPRODUCT(--((D10:D100&lt;&gt;"")+(G10:G100&lt;&gt;"")&gt;0)),
"")</f>
        <v>0.8125</v>
      </c>
      <c r="T6" s="11" cm="1">
        <f t="array" ref="T6">IFERROR(
   SUMPRODUCT((G10:G100&lt;&gt;"")*(E10:E100&lt;&gt;"")*
   ((G10:G100=E10:E100)+((G10:G100=1)*(E10:E100=2))+((G10:G100=2)*(E10:E100=1))))
   /
   SUMPRODUCT(--((G10:G100&lt;&gt;"")+(E10:E100&lt;&gt;"")&gt;0)),
"")</f>
        <v>0.8125</v>
      </c>
      <c r="U6" s="10" cm="1">
        <f t="array" ref="U6">IFERROR(
   SUMPRODUCT((F10:F100&lt;&gt;"")*(G10:G100&lt;&gt;"")*
   ((F10:F100=G10:G100)+((F10:F100=1)*(G10:G100=2))+((F10:F100=2)*(G10:G100=1))))
   /
   SUMPRODUCT(--((F10:F100&lt;&gt;"")+(G10:G100&lt;&gt;"")&gt;0)),
"")</f>
        <v>0.8666666666666667</v>
      </c>
      <c r="V6" s="10"/>
    </row>
    <row r="7" spans="1:23" x14ac:dyDescent="0.35">
      <c r="A7" s="1" t="s">
        <v>246</v>
      </c>
      <c r="C7">
        <f>COUNTIF(C24:C29,0)</f>
        <v>0</v>
      </c>
      <c r="D7">
        <f t="shared" ref="D7:H7" si="6">COUNTIF(D24:D29,0)</f>
        <v>0</v>
      </c>
      <c r="E7">
        <f t="shared" si="6"/>
        <v>0</v>
      </c>
      <c r="F7">
        <f t="shared" si="6"/>
        <v>0</v>
      </c>
      <c r="G7">
        <f t="shared" si="6"/>
        <v>1</v>
      </c>
      <c r="H7">
        <f t="shared" si="6"/>
        <v>1</v>
      </c>
      <c r="J7" s="1" t="s">
        <v>18</v>
      </c>
      <c r="K7" s="11" cm="1">
        <f t="array" ref="K7">IFERROR(SUMPRODUCT((C10:C100&lt;&gt;"")*(H10:H100&lt;&gt;"")*(C10:C100=H10:H100))/SUMPRODUCT(--((C10:C100&lt;&gt;"")+(H10:H100&lt;&gt;"")&gt;0)),"")</f>
        <v>0.8125</v>
      </c>
      <c r="L7" s="11" cm="1">
        <f t="array" ref="L7">IFERROR(SUMPRODUCT((H10:H100&lt;&gt;"")*(D10:D100&lt;&gt;"")*(H10:H100=D10:D100))/SUMPRODUCT(--((H10:H100&lt;&gt;"")+(D10:D100&lt;&gt;"")&gt;0)),"")</f>
        <v>0.76470588235294112</v>
      </c>
      <c r="M7" s="11" cm="1">
        <f t="array" ref="M7">IFERROR(SUMPRODUCT((H10:H100&lt;&gt;"")*(E10:E100&lt;&gt;"")*(H10:H100=E10:E100))/SUMPRODUCT(--((H10:H100&lt;&gt;"")+(E10:E100&lt;&gt;"")&gt;0)),"")</f>
        <v>0.76470588235294112</v>
      </c>
      <c r="N7" s="10" cm="1">
        <f t="array" ref="N7">IFERROR(SUMPRODUCT((F10:F100&lt;&gt;"")*(H10:H100&lt;&gt;"")*(F10:F100=H10:H100))/SUMPRODUCT(--((F10:F100&lt;&gt;"")+(H10:H100&lt;&gt;"")&gt;0)),"")</f>
        <v>0.6875</v>
      </c>
      <c r="O7" s="10" cm="1">
        <f t="array" ref="O7">IFERROR(SUMPRODUCT((G10:G100&lt;&gt;"")*(H10:H100&lt;&gt;"")*(G10:G100=H10:H100))/SUMPRODUCT(--((G10:G100&lt;&gt;"")+(H10:H100&lt;&gt;"")&gt;0)),"")</f>
        <v>0.8125</v>
      </c>
      <c r="Q7" s="1" t="s">
        <v>18</v>
      </c>
      <c r="R7" s="11" cm="1">
        <f t="array" ref="R7">IFERROR(
   SUMPRODUCT((C10:C100&lt;&gt;"")*(H10:H100&lt;&gt;"")*
   ((C10:C100=H10:H100)+((C10:C100=1)*(H10:H100=2))+((C10:C100=2)*(H10:H100=1))))
   /
   SUMPRODUCT(--((C10:C100&lt;&gt;"")+(H10:H100&lt;&gt;"")&gt;0)),
"")</f>
        <v>0.8125</v>
      </c>
      <c r="S7" s="11" cm="1">
        <f t="array" ref="S7">IFERROR(
   SUMPRODUCT((H10:H100&lt;&gt;"")*(D10:D100&lt;&gt;"")*
   ((H10:H100=D10:D100)+((H10:H100=1)*(D10:D100=2))+((H10:H100=2)*(D10:D100=1))))
   /
   SUMPRODUCT(--((H10:H100&lt;&gt;"")+(D10:D100&lt;&gt;"")&gt;0)),
"")</f>
        <v>0.76470588235294112</v>
      </c>
      <c r="T7" s="11" cm="1">
        <f t="array" ref="T7">IFERROR(
   SUMPRODUCT((H10:H100&lt;&gt;"")*(E10:E100&lt;&gt;"")*
   ((H10:H100=E10:E100)+((H10:H100=1)*(E10:E100=2))+((H10:H100=2)*(E10:E100=1))))
   /
   SUMPRODUCT(--((H10:H100&lt;&gt;"")+(E10:E100&lt;&gt;"")&gt;0)),
"")</f>
        <v>0.76470588235294112</v>
      </c>
      <c r="U7" s="10" cm="1">
        <f t="array" ref="U7">IFERROR(
   SUMPRODUCT((F10:F100&lt;&gt;"")*(H10:H100&lt;&gt;"")*
   ((F10:F100=H10:H100)+((F10:F100=1)*(H10:H100=2))+((F10:F100=2)*(H10:H100=1))))
   /
   SUMPRODUCT(--((F10:F100&lt;&gt;"")+(H10:H100&lt;&gt;"")&gt;0)),
"")</f>
        <v>0.8125</v>
      </c>
      <c r="V7" s="10" cm="1">
        <f t="array" ref="V7">IFERROR(
   SUMPRODUCT((H10:H100&lt;&gt;"")*(G10:G100&lt;&gt;"")*
   ((H10:H100=G10:G100)+((H10:H100=1)*(G10:G100=2))+((H10:H100=2)*(G10:G100=1))))
   /
   SUMPRODUCT(--((H10:H100&lt;&gt;"")+(G10:G100&lt;&gt;"")&gt;0)),
"")</f>
        <v>0.8125</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5</v>
      </c>
      <c r="B10" s="2" t="s">
        <v>103</v>
      </c>
      <c r="C10">
        <v>2</v>
      </c>
      <c r="D10" s="1">
        <v>2</v>
      </c>
      <c r="E10" s="1">
        <v>2</v>
      </c>
      <c r="F10" s="1">
        <v>2</v>
      </c>
      <c r="G10" s="1">
        <v>2</v>
      </c>
      <c r="H10" s="1">
        <v>2</v>
      </c>
    </row>
    <row r="11" spans="1:23" x14ac:dyDescent="0.35">
      <c r="A11" s="1"/>
      <c r="B11" s="2" t="s">
        <v>104</v>
      </c>
      <c r="C11">
        <v>2</v>
      </c>
      <c r="D11" s="1">
        <v>2</v>
      </c>
      <c r="E11" s="1">
        <v>2</v>
      </c>
      <c r="F11">
        <v>2</v>
      </c>
      <c r="G11" s="1">
        <v>2</v>
      </c>
      <c r="H11" s="1">
        <v>2</v>
      </c>
    </row>
    <row r="12" spans="1:23" ht="29" x14ac:dyDescent="0.35">
      <c r="A12" s="1" t="s">
        <v>6</v>
      </c>
      <c r="B12" s="2" t="s">
        <v>105</v>
      </c>
      <c r="C12">
        <v>2</v>
      </c>
      <c r="D12" s="1">
        <v>2</v>
      </c>
      <c r="E12" s="1">
        <v>2</v>
      </c>
      <c r="F12">
        <v>2</v>
      </c>
      <c r="G12" s="1">
        <v>2</v>
      </c>
      <c r="H12" s="1">
        <v>2</v>
      </c>
    </row>
    <row r="13" spans="1:23" x14ac:dyDescent="0.35">
      <c r="A13" s="1"/>
      <c r="B13" s="2" t="s">
        <v>106</v>
      </c>
      <c r="C13">
        <v>2</v>
      </c>
      <c r="D13" s="1">
        <v>2</v>
      </c>
      <c r="E13" s="1">
        <v>2</v>
      </c>
      <c r="F13">
        <v>2</v>
      </c>
      <c r="G13" s="1">
        <v>2</v>
      </c>
      <c r="H13" s="1">
        <v>2</v>
      </c>
    </row>
    <row r="14" spans="1:23" ht="29" x14ac:dyDescent="0.35">
      <c r="A14" s="1"/>
      <c r="B14" s="2" t="s">
        <v>107</v>
      </c>
      <c r="C14">
        <v>2</v>
      </c>
      <c r="D14" s="1">
        <v>2</v>
      </c>
      <c r="E14" s="1">
        <v>2</v>
      </c>
      <c r="F14">
        <v>2</v>
      </c>
      <c r="G14" s="1">
        <v>2</v>
      </c>
      <c r="H14" s="1">
        <v>2</v>
      </c>
    </row>
    <row r="15" spans="1:23" x14ac:dyDescent="0.35">
      <c r="A15" s="1"/>
      <c r="B15" s="2" t="s">
        <v>108</v>
      </c>
      <c r="C15">
        <v>2</v>
      </c>
      <c r="D15" s="1">
        <v>2</v>
      </c>
      <c r="E15" s="1">
        <v>2</v>
      </c>
      <c r="F15">
        <v>2</v>
      </c>
      <c r="G15" s="1">
        <v>2</v>
      </c>
      <c r="H15" s="1">
        <v>2</v>
      </c>
    </row>
    <row r="16" spans="1:23" x14ac:dyDescent="0.35">
      <c r="A16" s="1"/>
      <c r="B16" s="2" t="s">
        <v>109</v>
      </c>
      <c r="C16">
        <v>2</v>
      </c>
      <c r="D16" s="1">
        <v>2</v>
      </c>
      <c r="E16" s="1">
        <v>2</v>
      </c>
      <c r="F16">
        <v>2</v>
      </c>
      <c r="G16" s="1">
        <v>2</v>
      </c>
      <c r="H16" s="1">
        <v>2</v>
      </c>
    </row>
    <row r="17" spans="1:9" x14ac:dyDescent="0.35">
      <c r="A17" s="1"/>
      <c r="B17" s="2" t="s">
        <v>110</v>
      </c>
      <c r="C17">
        <v>2</v>
      </c>
      <c r="D17" s="1">
        <v>2</v>
      </c>
      <c r="E17" s="1">
        <v>2</v>
      </c>
      <c r="F17">
        <v>2</v>
      </c>
      <c r="G17" s="1">
        <v>2</v>
      </c>
      <c r="H17" s="1">
        <v>2</v>
      </c>
    </row>
    <row r="18" spans="1:9" x14ac:dyDescent="0.35">
      <c r="A18" s="1"/>
      <c r="B18" s="2" t="s">
        <v>111</v>
      </c>
      <c r="C18">
        <v>2</v>
      </c>
      <c r="D18" s="1">
        <v>2</v>
      </c>
      <c r="E18" s="1">
        <v>2</v>
      </c>
      <c r="F18">
        <v>2</v>
      </c>
      <c r="G18" s="1">
        <v>2</v>
      </c>
      <c r="H18" s="1">
        <v>2</v>
      </c>
    </row>
    <row r="19" spans="1:9" x14ac:dyDescent="0.35">
      <c r="A19" s="1" t="s">
        <v>19</v>
      </c>
      <c r="B19" s="2" t="s">
        <v>112</v>
      </c>
      <c r="C19">
        <v>2</v>
      </c>
      <c r="D19" s="1">
        <v>2</v>
      </c>
      <c r="E19" s="1">
        <v>2</v>
      </c>
      <c r="F19">
        <v>2</v>
      </c>
      <c r="G19" s="1">
        <v>2</v>
      </c>
      <c r="H19" s="1">
        <v>2</v>
      </c>
    </row>
    <row r="20" spans="1:9" x14ac:dyDescent="0.35">
      <c r="A20" s="1" t="s">
        <v>20</v>
      </c>
      <c r="B20" s="2" t="s">
        <v>113</v>
      </c>
      <c r="C20">
        <v>2</v>
      </c>
      <c r="D20" s="1">
        <v>2</v>
      </c>
      <c r="E20" s="1">
        <v>2</v>
      </c>
      <c r="F20">
        <v>2</v>
      </c>
      <c r="G20" s="1">
        <v>2</v>
      </c>
      <c r="H20" s="1">
        <v>2</v>
      </c>
    </row>
    <row r="21" spans="1:9" x14ac:dyDescent="0.35">
      <c r="A21" s="1"/>
      <c r="B21" s="2" t="s">
        <v>114</v>
      </c>
      <c r="C21">
        <v>2</v>
      </c>
      <c r="D21" s="1">
        <v>2</v>
      </c>
      <c r="E21" s="1">
        <v>2</v>
      </c>
      <c r="F21">
        <v>1</v>
      </c>
      <c r="G21" s="1">
        <v>2</v>
      </c>
      <c r="H21" s="1">
        <v>2</v>
      </c>
    </row>
    <row r="22" spans="1:9" x14ac:dyDescent="0.35">
      <c r="A22" s="1"/>
      <c r="B22" s="2" t="s">
        <v>115</v>
      </c>
      <c r="C22">
        <v>2</v>
      </c>
      <c r="D22" s="1">
        <v>2</v>
      </c>
      <c r="E22" s="1">
        <v>2</v>
      </c>
      <c r="F22">
        <v>1</v>
      </c>
      <c r="G22" s="1">
        <v>2</v>
      </c>
      <c r="H22" s="1">
        <v>2</v>
      </c>
    </row>
    <row r="23" spans="1:9" s="3" customFormat="1" x14ac:dyDescent="0.35">
      <c r="B23" s="4"/>
      <c r="F23" s="4"/>
      <c r="G23" s="4"/>
      <c r="H23" s="4"/>
      <c r="I23" s="4"/>
    </row>
    <row r="24" spans="1:9" x14ac:dyDescent="0.35">
      <c r="A24" s="1" t="s">
        <v>21</v>
      </c>
      <c r="B24" s="2" t="s">
        <v>116</v>
      </c>
      <c r="C24">
        <v>1</v>
      </c>
      <c r="D24">
        <v>1</v>
      </c>
      <c r="E24">
        <v>1</v>
      </c>
    </row>
    <row r="25" spans="1:9" x14ac:dyDescent="0.35">
      <c r="B25" s="2" t="s">
        <v>117</v>
      </c>
      <c r="D25">
        <v>1</v>
      </c>
      <c r="E25">
        <v>1</v>
      </c>
    </row>
    <row r="26" spans="1:9" x14ac:dyDescent="0.35">
      <c r="B26" s="2" t="s">
        <v>118</v>
      </c>
      <c r="F26">
        <v>1</v>
      </c>
    </row>
    <row r="27" spans="1:9" x14ac:dyDescent="0.35">
      <c r="B27" s="2" t="s">
        <v>119</v>
      </c>
      <c r="G27">
        <v>0</v>
      </c>
    </row>
    <row r="28" spans="1:9" x14ac:dyDescent="0.35">
      <c r="B28" s="2" t="s">
        <v>120</v>
      </c>
      <c r="H28">
        <v>0</v>
      </c>
    </row>
    <row r="29" spans="1:9" x14ac:dyDescent="0.35">
      <c r="B29" s="2" t="s">
        <v>121</v>
      </c>
      <c r="H29">
        <v>1</v>
      </c>
    </row>
    <row r="30" spans="1:9" x14ac:dyDescent="0.35">
      <c r="B30" s="6"/>
    </row>
    <row r="31" spans="1:9" x14ac:dyDescent="0.35">
      <c r="B31" s="7"/>
    </row>
  </sheetData>
  <conditionalFormatting sqref="C10">
    <cfRule type="iconSet" priority="306">
      <iconSet iconSet="3Symbols">
        <cfvo type="percent" val="0"/>
        <cfvo type="num" val="1"/>
        <cfvo type="num" val="2"/>
      </iconSet>
    </cfRule>
    <cfRule type="iconSet" priority="304">
      <iconSet iconSet="3Symbols">
        <cfvo type="percent" val="0"/>
        <cfvo type="percent" val="33"/>
        <cfvo type="percent" val="67"/>
      </iconSet>
    </cfRule>
  </conditionalFormatting>
  <conditionalFormatting sqref="C11:C22">
    <cfRule type="iconSet" priority="31">
      <iconSet iconSet="3Symbols">
        <cfvo type="percent" val="0"/>
        <cfvo type="num" val="1"/>
        <cfvo type="num" val="2"/>
      </iconSet>
    </cfRule>
    <cfRule type="iconSet" priority="30">
      <iconSet iconSet="3Symbols">
        <cfvo type="percent" val="0"/>
        <cfvo type="percent" val="33"/>
        <cfvo type="percent" val="67"/>
      </iconSet>
    </cfRule>
  </conditionalFormatting>
  <conditionalFormatting sqref="C24:D33">
    <cfRule type="iconSet" priority="55">
      <iconSet iconSet="3Symbols">
        <cfvo type="percent" val="0"/>
        <cfvo type="percent" val="33"/>
        <cfvo type="percent" val="67"/>
      </iconSet>
    </cfRule>
    <cfRule type="iconSet" priority="54">
      <iconSet iconSet="3Symbols">
        <cfvo type="percent" val="0"/>
        <cfvo type="num" val="1"/>
        <cfvo type="num" val="2"/>
      </iconSet>
    </cfRule>
  </conditionalFormatting>
  <conditionalFormatting sqref="D10">
    <cfRule type="iconSet" priority="29">
      <iconSet iconSet="3Symbols">
        <cfvo type="percent" val="0"/>
        <cfvo type="num" val="1"/>
        <cfvo type="num" val="2"/>
      </iconSet>
    </cfRule>
    <cfRule type="iconSet" priority="28">
      <iconSet iconSet="3Symbols">
        <cfvo type="percent" val="0"/>
        <cfvo type="percent" val="33"/>
        <cfvo type="percent" val="67"/>
      </iconSet>
    </cfRule>
  </conditionalFormatting>
  <conditionalFormatting sqref="D11:D22">
    <cfRule type="iconSet" priority="27">
      <iconSet iconSet="3Symbols">
        <cfvo type="percent" val="0"/>
        <cfvo type="num" val="1"/>
        <cfvo type="num" val="2"/>
      </iconSet>
    </cfRule>
    <cfRule type="iconSet" priority="26">
      <iconSet iconSet="3Symbols">
        <cfvo type="percent" val="0"/>
        <cfvo type="percent" val="33"/>
        <cfvo type="percent" val="67"/>
      </iconSet>
    </cfRule>
  </conditionalFormatting>
  <conditionalFormatting sqref="D37:D48">
    <cfRule type="iconSet" priority="68">
      <iconSet iconSet="3Symbols">
        <cfvo type="percent" val="0"/>
        <cfvo type="num" val="1"/>
        <cfvo type="num" val="2"/>
      </iconSet>
    </cfRule>
    <cfRule type="iconSet" priority="67">
      <iconSet iconSet="3Symbols">
        <cfvo type="percent" val="0"/>
        <cfvo type="percent" val="33"/>
        <cfvo type="percent" val="67"/>
      </iconSet>
    </cfRule>
  </conditionalFormatting>
  <conditionalFormatting sqref="E10">
    <cfRule type="iconSet" priority="18">
      <iconSet iconSet="3Symbols">
        <cfvo type="percent" val="0"/>
        <cfvo type="percent" val="33"/>
        <cfvo type="percent" val="67"/>
      </iconSet>
    </cfRule>
    <cfRule type="iconSet" priority="19">
      <iconSet iconSet="3Symbols">
        <cfvo type="percent" val="0"/>
        <cfvo type="num" val="1"/>
        <cfvo type="num" val="2"/>
      </iconSet>
    </cfRule>
  </conditionalFormatting>
  <conditionalFormatting sqref="E11:E22">
    <cfRule type="iconSet" priority="16">
      <iconSet iconSet="3Symbols">
        <cfvo type="percent" val="0"/>
        <cfvo type="percent" val="33"/>
        <cfvo type="percent" val="67"/>
      </iconSet>
    </cfRule>
    <cfRule type="iconSet" priority="17">
      <iconSet iconSet="3Symbols">
        <cfvo type="percent" val="0"/>
        <cfvo type="num" val="1"/>
        <cfvo type="num" val="2"/>
      </iconSet>
    </cfRule>
  </conditionalFormatting>
  <conditionalFormatting sqref="E24:E33">
    <cfRule type="iconSet" priority="21">
      <iconSet iconSet="3Symbols">
        <cfvo type="percent" val="0"/>
        <cfvo type="percent" val="33"/>
        <cfvo type="percent" val="67"/>
      </iconSet>
    </cfRule>
    <cfRule type="iconSet" priority="20">
      <iconSet iconSet="3Symbols">
        <cfvo type="percent" val="0"/>
        <cfvo type="num" val="1"/>
        <cfvo type="num" val="2"/>
      </iconSet>
    </cfRule>
  </conditionalFormatting>
  <conditionalFormatting sqref="E30:E36">
    <cfRule type="iconSet" priority="23">
      <iconSet iconSet="3Symbols">
        <cfvo type="percent" val="0"/>
        <cfvo type="num" val="1"/>
        <cfvo type="num" val="2"/>
      </iconSet>
    </cfRule>
    <cfRule type="iconSet" priority="22">
      <iconSet iconSet="3Symbols">
        <cfvo type="percent" val="0"/>
        <cfvo type="percent" val="33"/>
        <cfvo type="percent" val="67"/>
      </iconSet>
    </cfRule>
  </conditionalFormatting>
  <conditionalFormatting sqref="E37:E48">
    <cfRule type="iconSet" priority="24">
      <iconSet iconSet="3Symbols">
        <cfvo type="percent" val="0"/>
        <cfvo type="percent" val="33"/>
        <cfvo type="percent" val="67"/>
      </iconSet>
    </cfRule>
    <cfRule type="iconSet" priority="25">
      <iconSet iconSet="3Symbols">
        <cfvo type="percent" val="0"/>
        <cfvo type="num" val="1"/>
        <cfvo type="num" val="2"/>
      </iconSet>
    </cfRule>
  </conditionalFormatting>
  <conditionalFormatting sqref="F10">
    <cfRule type="iconSet" priority="15">
      <iconSet iconSet="3Symbols">
        <cfvo type="percent" val="0"/>
        <cfvo type="num" val="1"/>
        <cfvo type="num" val="2"/>
      </iconSet>
    </cfRule>
    <cfRule type="iconSet" priority="14">
      <iconSet iconSet="3Symbols">
        <cfvo type="percent" val="0"/>
        <cfvo type="percent" val="33"/>
        <cfvo type="percent" val="67"/>
      </iconSet>
    </cfRule>
  </conditionalFormatting>
  <conditionalFormatting sqref="F11:F22">
    <cfRule type="iconSet" priority="11">
      <iconSet iconSet="3Symbols">
        <cfvo type="percent" val="0"/>
        <cfvo type="percent" val="33"/>
        <cfvo type="percent" val="67"/>
      </iconSet>
    </cfRule>
    <cfRule type="iconSet" priority="10">
      <iconSet iconSet="3Symbols">
        <cfvo type="percent" val="0"/>
        <cfvo type="num" val="1"/>
        <cfvo type="num" val="2"/>
      </iconSet>
    </cfRule>
  </conditionalFormatting>
  <conditionalFormatting sqref="F24:H24 C37:C41 C30:D36">
    <cfRule type="iconSet" priority="65">
      <iconSet iconSet="3Symbols">
        <cfvo type="percent" val="0"/>
        <cfvo type="percent" val="33"/>
        <cfvo type="percent" val="67"/>
      </iconSet>
    </cfRule>
    <cfRule type="iconSet" priority="66">
      <iconSet iconSet="3Symbols">
        <cfvo type="percent" val="0"/>
        <cfvo type="num" val="1"/>
        <cfvo type="num" val="2"/>
      </iconSet>
    </cfRule>
  </conditionalFormatting>
  <conditionalFormatting sqref="F25:I61">
    <cfRule type="iconSet" priority="34">
      <iconSet iconSet="3Symbols">
        <cfvo type="percent" val="0"/>
        <cfvo type="num" val="1"/>
        <cfvo type="num" val="2"/>
      </iconSet>
    </cfRule>
    <cfRule type="iconSet" priority="35">
      <iconSet iconSet="3Symbols">
        <cfvo type="percent" val="0"/>
        <cfvo type="percent" val="33"/>
        <cfvo type="percent" val="67"/>
      </iconSet>
    </cfRule>
  </conditionalFormatting>
  <conditionalFormatting sqref="G10">
    <cfRule type="iconSet" priority="9">
      <iconSet iconSet="3Symbols">
        <cfvo type="percent" val="0"/>
        <cfvo type="num" val="1"/>
        <cfvo type="num" val="2"/>
      </iconSet>
    </cfRule>
    <cfRule type="iconSet" priority="8">
      <iconSet iconSet="3Symbols">
        <cfvo type="percent" val="0"/>
        <cfvo type="percent" val="33"/>
        <cfvo type="percent" val="67"/>
      </iconSet>
    </cfRule>
  </conditionalFormatting>
  <conditionalFormatting sqref="G11:G22">
    <cfRule type="iconSet" priority="7">
      <iconSet iconSet="3Symbols">
        <cfvo type="percent" val="0"/>
        <cfvo type="num" val="1"/>
        <cfvo type="num" val="2"/>
      </iconSet>
    </cfRule>
    <cfRule type="iconSet" priority="6">
      <iconSet iconSet="3Symbols">
        <cfvo type="percent" val="0"/>
        <cfvo type="percent" val="33"/>
        <cfvo type="percent" val="67"/>
      </iconSet>
    </cfRule>
  </conditionalFormatting>
  <conditionalFormatting sqref="H10">
    <cfRule type="iconSet" priority="5">
      <iconSet iconSet="3Symbols">
        <cfvo type="percent" val="0"/>
        <cfvo type="num" val="1"/>
        <cfvo type="num" val="2"/>
      </iconSet>
    </cfRule>
    <cfRule type="iconSet" priority="4">
      <iconSet iconSet="3Symbols">
        <cfvo type="percent" val="0"/>
        <cfvo type="percent" val="33"/>
        <cfvo type="percent" val="67"/>
      </iconSet>
    </cfRule>
  </conditionalFormatting>
  <conditionalFormatting sqref="H11:H22">
    <cfRule type="iconSet" priority="2">
      <iconSet iconSet="3Symbols">
        <cfvo type="percent" val="0"/>
        <cfvo type="percent" val="33"/>
        <cfvo type="percent" val="67"/>
      </iconSet>
    </cfRule>
    <cfRule type="iconSet" priority="3">
      <iconSet iconSet="3Symbols">
        <cfvo type="percent" val="0"/>
        <cfvo type="num" val="1"/>
        <cfvo type="num" val="2"/>
      </iconSet>
    </cfRule>
  </conditionalFormatting>
  <conditionalFormatting sqref="I10:I22 I24">
    <cfRule type="iconSet" priority="56">
      <iconSet>
        <cfvo type="percent" val="0"/>
        <cfvo type="num" val="1"/>
        <cfvo type="num" val="2"/>
      </iconSet>
    </cfRule>
  </conditionalFormatting>
  <conditionalFormatting sqref="J10:J19 J21:J46">
    <cfRule type="iconSet" priority="1">
      <iconSet>
        <cfvo type="percent" val="0"/>
        <cfvo type="num" val="1"/>
        <cfvo type="num" val="2"/>
      </iconSet>
    </cfRule>
  </conditionalFormatting>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DB98E-C96F-40E1-A18C-899D2B98A7EF}">
  <dimension ref="A1:W74"/>
  <sheetViews>
    <sheetView zoomScale="81" zoomScaleNormal="75" workbookViewId="0">
      <selection activeCell="C7" sqref="C7"/>
    </sheetView>
  </sheetViews>
  <sheetFormatPr defaultRowHeight="14.5" x14ac:dyDescent="0.35"/>
  <cols>
    <col min="1" max="1" width="28" customWidth="1"/>
    <col min="2" max="2" width="35.453125" style="2" customWidth="1"/>
    <col min="3" max="8" width="15.453125" customWidth="1"/>
    <col min="10" max="10" width="12.54296875" customWidth="1"/>
    <col min="17" max="17" width="14.453125" customWidth="1"/>
  </cols>
  <sheetData>
    <row r="1" spans="1:23" x14ac:dyDescent="0.35">
      <c r="A1" s="1" t="s">
        <v>352</v>
      </c>
      <c r="C1">
        <f xml:space="preserve"> SUM(C3:C4) / (C3+ C4+ C7) * 100</f>
        <v>100</v>
      </c>
      <c r="D1">
        <f t="shared" ref="D1:H1" si="0" xml:space="preserve"> SUM(D3:D4) / (D3+ D4+ D7) * 100</f>
        <v>100</v>
      </c>
      <c r="E1">
        <f t="shared" si="0"/>
        <v>92.307692307692307</v>
      </c>
      <c r="F1">
        <f t="shared" si="0"/>
        <v>72.222222222222214</v>
      </c>
      <c r="G1">
        <f t="shared" si="0"/>
        <v>92.857142857142861</v>
      </c>
      <c r="H1">
        <f t="shared" si="0"/>
        <v>86.666666666666671</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85.714285714285708</v>
      </c>
      <c r="D2">
        <f t="shared" ref="D2:H2" si="1" xml:space="preserve"> SUM(D3:D4) / SUM(D3:D5) *100</f>
        <v>85.714285714285708</v>
      </c>
      <c r="E2">
        <f t="shared" si="1"/>
        <v>85.714285714285708</v>
      </c>
      <c r="F2">
        <f t="shared" si="1"/>
        <v>92.857142857142861</v>
      </c>
      <c r="G2">
        <f t="shared" si="1"/>
        <v>92.857142857142861</v>
      </c>
      <c r="H2">
        <f t="shared" si="1"/>
        <v>92.857142857142861</v>
      </c>
      <c r="J2" s="1" t="s">
        <v>13</v>
      </c>
      <c r="K2" s="10"/>
      <c r="L2" s="10"/>
      <c r="M2" s="10"/>
      <c r="Q2" s="1" t="s">
        <v>13</v>
      </c>
      <c r="R2" s="10"/>
      <c r="S2" s="10"/>
      <c r="T2" s="10"/>
    </row>
    <row r="3" spans="1:23" x14ac:dyDescent="0.35">
      <c r="A3" s="1" t="s">
        <v>242</v>
      </c>
      <c r="C3" s="2">
        <f t="shared" ref="C3:H3" si="2">COUNTIF(C10:C23, 2)</f>
        <v>11</v>
      </c>
      <c r="D3" s="2">
        <f t="shared" si="2"/>
        <v>11</v>
      </c>
      <c r="E3" s="2">
        <f t="shared" si="2"/>
        <v>10</v>
      </c>
      <c r="F3" s="2">
        <f t="shared" si="2"/>
        <v>12</v>
      </c>
      <c r="G3" s="2">
        <f t="shared" si="2"/>
        <v>12</v>
      </c>
      <c r="H3" s="2">
        <f t="shared" si="2"/>
        <v>11</v>
      </c>
      <c r="J3" s="1" t="s">
        <v>14</v>
      </c>
      <c r="K3" s="10" cm="1">
        <f t="array" ref="K3">IFERROR(SUMPRODUCT((C10:C100&lt;&gt;"")*(D10:D100&lt;&gt;"")*(C10:C100=D10:D100))/SUMPRODUCT(--((C10:C100&lt;&gt;"")+(D10:D100&lt;&gt;"")&gt;0)),"")</f>
        <v>0.91666666666666663</v>
      </c>
      <c r="L3" s="10"/>
      <c r="M3" s="10"/>
      <c r="Q3" s="1" t="s">
        <v>14</v>
      </c>
      <c r="R3" s="10" cm="1">
        <f t="array" ref="R3">IFERROR(
   SUMPRODUCT((C10:C100&lt;&gt;"")*(D10:D100&lt;&gt;"")*
   ((C10:C100=D10:D100)+((C10:C100=1)*(D10:D100=2))+((C10:C100=2)*(D10:D100=1))))
   /
   SUMPRODUCT(--((C10:C100&lt;&gt;"")+(D10:D100&lt;&gt;"")&gt;0)),
"")</f>
        <v>0.91666666666666663</v>
      </c>
      <c r="S3" s="10"/>
      <c r="T3" s="10"/>
    </row>
    <row r="4" spans="1:23" x14ac:dyDescent="0.35">
      <c r="A4" s="1" t="s">
        <v>243</v>
      </c>
      <c r="C4">
        <f t="shared" ref="C4:H4" si="3">COUNTIF(C10:C23, 1)</f>
        <v>1</v>
      </c>
      <c r="D4">
        <f t="shared" si="3"/>
        <v>1</v>
      </c>
      <c r="E4">
        <f t="shared" si="3"/>
        <v>2</v>
      </c>
      <c r="F4">
        <f t="shared" si="3"/>
        <v>1</v>
      </c>
      <c r="G4">
        <f t="shared" si="3"/>
        <v>1</v>
      </c>
      <c r="H4">
        <f t="shared" si="3"/>
        <v>2</v>
      </c>
      <c r="J4" s="1" t="s">
        <v>15</v>
      </c>
      <c r="K4" s="10" cm="1">
        <f t="array" ref="K4">IFERROR(SUMPRODUCT((C10:C100&lt;&gt;"")*(E10:E100&lt;&gt;"")*(C10:C100=E10:E100))/SUMPRODUCT(--((C10:C100&lt;&gt;"")+(E10:E100&lt;&gt;"")&gt;0)),"")</f>
        <v>0.88</v>
      </c>
      <c r="L4" s="10" cm="1">
        <f t="array" ref="L4">IFERROR(SUMPRODUCT((E10:E100&lt;&gt;"")*(D10:D100&lt;&gt;"")*(E10:E100=D10:D100))/SUMPRODUCT(--((E10:E100&lt;&gt;"")+(D10:D100&lt;&gt;"")&gt;0)),"")</f>
        <v>0.80769230769230771</v>
      </c>
      <c r="M4" s="10"/>
      <c r="Q4" s="1" t="s">
        <v>15</v>
      </c>
      <c r="R4" s="10" cm="1">
        <f t="array" ref="R4">IFERROR(
   SUMPRODUCT((C10:C100&lt;&gt;"")*(E10:E100&lt;&gt;"")*
   ((C10:C100=E10:E100)+((C10:C100=1)*(E10:E100=2))+((C10:C100=2)*(E10:E100=1))))
   /
   SUMPRODUCT(--((C10:C100&lt;&gt;"")+(E10:E100&lt;&gt;"")&gt;0)),
"")</f>
        <v>0.92</v>
      </c>
      <c r="S4" s="10" cm="1">
        <f t="array" ref="S4">IFERROR(
   SUMPRODUCT((E10:E100&lt;&gt;"")*(D10:D100&lt;&gt;"")*
   ((E10:E100=D10:D100)+((E10:E100=1)*(D10:D100=2))+((E10:E100=2)*(D10:D100=1))))
   /
   SUMPRODUCT(--((E10:E100&lt;&gt;"")+(D10:D100&lt;&gt;"")&gt;0)),
"")</f>
        <v>0.84615384615384615</v>
      </c>
      <c r="T4" s="10"/>
    </row>
    <row r="5" spans="1:23" x14ac:dyDescent="0.35">
      <c r="A5" s="1" t="s">
        <v>244</v>
      </c>
      <c r="C5">
        <f t="shared" ref="C5:H5" si="4">COUNTIF(C10:C23, 0)</f>
        <v>2</v>
      </c>
      <c r="D5">
        <f t="shared" si="4"/>
        <v>2</v>
      </c>
      <c r="E5">
        <f t="shared" si="4"/>
        <v>2</v>
      </c>
      <c r="F5">
        <f t="shared" si="4"/>
        <v>1</v>
      </c>
      <c r="G5">
        <f t="shared" si="4"/>
        <v>1</v>
      </c>
      <c r="H5">
        <f t="shared" si="4"/>
        <v>1</v>
      </c>
      <c r="J5" s="1" t="s">
        <v>16</v>
      </c>
      <c r="K5" s="11" cm="1">
        <f t="array" ref="K5">IFERROR(SUMPRODUCT((C10:C100&lt;&gt;"")*(F10:F100&lt;&gt;"")*(C10:C100=F10:F100))/SUMPRODUCT(--((C10:C100&lt;&gt;"")+(F10:F100&lt;&gt;"")&gt;0)),"")</f>
        <v>0.35416666666666669</v>
      </c>
      <c r="L5" s="11" cm="1">
        <f t="array" ref="L5">IFERROR(SUMPRODUCT((F10:F100&lt;&gt;"")*(D10:D100&lt;&gt;"")*(F10:F100=D10:D100))/SUMPRODUCT(--((F10:F100&lt;&gt;"")+(D10:D100&lt;&gt;"")&gt;0)),"")</f>
        <v>0.32653061224489793</v>
      </c>
      <c r="M5" s="11" cm="1">
        <f t="array" ref="M5">IFERROR(SUMPRODUCT((F10:F100&lt;&gt;"")*(E10:E100&lt;&gt;"")*(F10:F100=E10:E100))/SUMPRODUCT(--((F10:F100&lt;&gt;"")+(E10:E100&lt;&gt;"")&gt;0)),"")</f>
        <v>0.38775510204081631</v>
      </c>
      <c r="N5" s="10"/>
      <c r="O5" s="10"/>
      <c r="Q5" s="1" t="s">
        <v>16</v>
      </c>
      <c r="R5" s="11" cm="1">
        <f t="array" ref="R5">IFERROR(
   SUMPRODUCT((C10:C100&lt;&gt;"")*(F10:F100&lt;&gt;"")*
   ((C10:C100=F10:F100)+((C10:C100=1)*(F10:F100=2))+((C10:C100=2)*(F10:F100=1))))
   /
   SUMPRODUCT(--((C10:C100&lt;&gt;"")+(F10:F100&lt;&gt;"")&gt;0)),
"")</f>
        <v>0.39583333333333331</v>
      </c>
      <c r="S5" s="11" cm="1">
        <f t="array" ref="S5">IFERROR(
   SUMPRODUCT((F10:F100&lt;&gt;"")*(D10:D100&lt;&gt;"")*
   ((F10:F100=D10:D100)+((F10:F100=1)*(D10:D100=2))+((F10:F100=2)*(D10:D100=1))))
   /
   SUMPRODUCT(--((F10:F100&lt;&gt;"")+(D10:D100&lt;&gt;"")&gt;0)),
"")</f>
        <v>0.36734693877551022</v>
      </c>
      <c r="T5" s="11" cm="1">
        <f t="array" ref="T5">IFERROR(
   SUMPRODUCT((F10:F100&lt;&gt;"")*(E10:E100&lt;&gt;"")*
   ((F10:F100=E10:E100)+((F10:F100=1)*(E10:E100=2))+((F10:F100=2)*(E10:E100=1))))
   /
   SUMPRODUCT(--((F10:F100&lt;&gt;"")+(E10:E100&lt;&gt;"")&gt;0)),
"")</f>
        <v>0.40816326530612246</v>
      </c>
      <c r="U5" s="10"/>
      <c r="V5" s="10"/>
    </row>
    <row r="6" spans="1:23" x14ac:dyDescent="0.35">
      <c r="A6" s="1" t="s">
        <v>245</v>
      </c>
      <c r="C6">
        <f>COUNTIF(C25:C67,0) + COUNTIF(C25:C67,1)</f>
        <v>9</v>
      </c>
      <c r="D6">
        <f t="shared" ref="D6:H6" si="5">COUNTIF(D25:D67,0) + COUNTIF(D25:D67,1)</f>
        <v>9</v>
      </c>
      <c r="E6">
        <f t="shared" si="5"/>
        <v>11</v>
      </c>
      <c r="F6">
        <f t="shared" si="5"/>
        <v>31</v>
      </c>
      <c r="G6">
        <f t="shared" si="5"/>
        <v>13</v>
      </c>
      <c r="H6">
        <f t="shared" si="5"/>
        <v>15</v>
      </c>
      <c r="J6" s="1" t="s">
        <v>17</v>
      </c>
      <c r="K6" s="11" cm="1">
        <f t="array" ref="K6">IFERROR(SUMPRODUCT((C10:C100&lt;&gt;"")*(G10:G100&lt;&gt;"")*(C10:C100=G10:G100))/SUMPRODUCT(--((C10:C100&lt;&gt;"")+(G10:G100&lt;&gt;"")&gt;0)),"")</f>
        <v>0.34285714285714286</v>
      </c>
      <c r="L6" s="11" cm="1">
        <f t="array" ref="L6">SUMPRODUCT((D10:D100&lt;&gt;0)*(G10:G100&lt;&gt;0)) / SUMPRODUCT(((D10:D100&lt;&gt;0)+(G10:G100&lt;&gt;0)&gt;0)*1)</f>
        <v>0.39393939393939392</v>
      </c>
      <c r="M6" s="11" cm="1">
        <f t="array" ref="M6">IFERROR(SUMPRODUCT((G10:G100&lt;&gt;"")*(E10:E100&lt;&gt;"")*(G10:G100=E10:E100))/SUMPRODUCT(--((G10:G100&lt;&gt;"")+(E10:E100&lt;&gt;"")&gt;0)),"")</f>
        <v>0.35135135135135137</v>
      </c>
      <c r="N6" s="10" cm="1">
        <f t="array" ref="N6">IFERROR(SUMPRODUCT((G10:G100&lt;&gt;"")*(F10:F100&lt;&gt;"")*(G10:G100=F10:F100))/SUMPRODUCT(--((G10:G100&lt;&gt;"")+(F10:F100&lt;&gt;"")&gt;0)),"")</f>
        <v>0.5</v>
      </c>
      <c r="O6" s="10"/>
      <c r="Q6" s="1" t="s">
        <v>17</v>
      </c>
      <c r="R6" s="11" cm="1">
        <f t="array" ref="R6">IFERROR(
   SUMPRODUCT((C10:C100&lt;&gt;"")*(G10:G100&lt;&gt;"")*
   ((C10:C100=G10:G100)+((C10:C100=1)*(G10:G100=2))+((C10:C100=2)*(G10:G100=1))))
   /
   SUMPRODUCT(--((C10:C100&lt;&gt;"")+(G10:G100&lt;&gt;"")&gt;0)),
"")</f>
        <v>0.4</v>
      </c>
      <c r="S6" s="11" cm="1">
        <f t="array" ref="S6">IFERROR(
   SUMPRODUCT((D10:D100&lt;&gt;"")*(G10:G100&lt;&gt;"")*
   ((D10:D100=G10:G100)+((D10:D100=1)*(G10:G100=2))+((D10:D100=2)*(G10:G100=1))))
   /
   SUMPRODUCT(--((D10:D100&lt;&gt;"")+(G10:G100&lt;&gt;"")&gt;0)),
"")</f>
        <v>0.4</v>
      </c>
      <c r="T6" s="11" cm="1">
        <f t="array" ref="T6">IFERROR(
   SUMPRODUCT((G10:G100&lt;&gt;"")*(E10:E100&lt;&gt;"")*
   ((G10:G100=E10:E100)+((G10:G100=1)*(E10:E100=2))+((G10:G100=2)*(E10:E100=1))))
   /
   SUMPRODUCT(--((G10:G100&lt;&gt;"")+(E10:E100&lt;&gt;"")&gt;0)),
"")</f>
        <v>0.3783783783783784</v>
      </c>
      <c r="U6" s="10" cm="1">
        <f t="array" ref="U6">IFERROR(
   SUMPRODUCT((F10:F100&lt;&gt;"")*(G10:G100&lt;&gt;"")*
   ((F10:F100=G10:G100)+((F10:F100=1)*(G10:G100=2))+((F10:F100=2)*(G10:G100=1))))
   /
   SUMPRODUCT(--((F10:F100&lt;&gt;"")+(G10:G100&lt;&gt;"")&gt;0)),
"")</f>
        <v>0.5</v>
      </c>
      <c r="V6" s="10"/>
    </row>
    <row r="7" spans="1:23" x14ac:dyDescent="0.35">
      <c r="A7" s="1" t="s">
        <v>246</v>
      </c>
      <c r="C7">
        <f>COUNTIF(C25:C67,0)</f>
        <v>0</v>
      </c>
      <c r="D7">
        <f t="shared" ref="D7:H7" si="6">COUNTIF(D25:D67,0)</f>
        <v>0</v>
      </c>
      <c r="E7">
        <f t="shared" si="6"/>
        <v>1</v>
      </c>
      <c r="F7">
        <f t="shared" si="6"/>
        <v>5</v>
      </c>
      <c r="G7">
        <f t="shared" si="6"/>
        <v>1</v>
      </c>
      <c r="H7">
        <f t="shared" si="6"/>
        <v>2</v>
      </c>
      <c r="J7" s="1" t="s">
        <v>18</v>
      </c>
      <c r="K7" s="11" cm="1">
        <f t="array" ref="K7">IFERROR(SUMPRODUCT((C10:C100&lt;&gt;"")*(H10:H100&lt;&gt;"")*(C10:C100=H10:H100))/SUMPRODUCT(--((C10:C100&lt;&gt;"")+(H10:H100&lt;&gt;"")&gt;0)),"")</f>
        <v>0.4</v>
      </c>
      <c r="L7" s="11" cm="1">
        <f t="array" ref="L7">IFERROR(SUMPRODUCT((H10:H100&lt;&gt;"")*(D10:D100&lt;&gt;"")*(H10:H100=D10:D100))/SUMPRODUCT(--((H10:H100&lt;&gt;"")+(D10:D100&lt;&gt;"")&gt;0)),"")</f>
        <v>0.4</v>
      </c>
      <c r="M7" s="11" cm="1">
        <f t="array" ref="M7">IFERROR(SUMPRODUCT((H10:H100&lt;&gt;"")*(E10:E100&lt;&gt;"")*(H10:H100=E10:E100))/SUMPRODUCT(--((H10:H100&lt;&gt;"")+(E10:E100&lt;&gt;"")&gt;0)),"")</f>
        <v>0.40540540540540543</v>
      </c>
      <c r="N7" s="10" cm="1">
        <f t="array" ref="N7">IFERROR(SUMPRODUCT((F10:F100&lt;&gt;"")*(H10:H100&lt;&gt;"")*(F10:F100=H10:H100))/SUMPRODUCT(--((F10:F100&lt;&gt;"")+(H10:H100&lt;&gt;"")&gt;0)),"")</f>
        <v>0.46</v>
      </c>
      <c r="O7" s="10" cm="1">
        <f t="array" ref="O7">IFERROR(SUMPRODUCT((G10:G100&lt;&gt;"")*(H10:H100&lt;&gt;"")*(G10:G100=H10:H100))/SUMPRODUCT(--((G10:G100&lt;&gt;"")+(H10:H100&lt;&gt;"")&gt;0)),"")</f>
        <v>0.48648648648648651</v>
      </c>
      <c r="Q7" s="1" t="s">
        <v>18</v>
      </c>
      <c r="R7" s="11" cm="1">
        <f t="array" ref="R7">IFERROR(
   SUMPRODUCT((C10:C100&lt;&gt;"")*(H10:H100&lt;&gt;"")*
   ((C10:C100=H10:H100)+((C10:C100=1)*(H10:H100=2))+((C10:C100=2)*(H10:H100=1))))
   /
   SUMPRODUCT(--((C10:C100&lt;&gt;"")+(H10:H100&lt;&gt;"")&gt;0)),
"")</f>
        <v>0.45714285714285713</v>
      </c>
      <c r="S7" s="11" cm="1">
        <f t="array" ref="S7">IFERROR(
   SUMPRODUCT((H10:H100&lt;&gt;"")*(D10:D100&lt;&gt;"")*
   ((H10:H100=D10:D100)+((H10:H100=1)*(D10:D100=2))+((H10:H100=2)*(D10:D100=1))))
   /
   SUMPRODUCT(--((H10:H100&lt;&gt;"")+(D10:D100&lt;&gt;"")&gt;0)),
"")</f>
        <v>0.45714285714285713</v>
      </c>
      <c r="T7" s="11" cm="1">
        <f t="array" ref="T7">IFERROR(
   SUMPRODUCT((H10:H100&lt;&gt;"")*(E10:E100&lt;&gt;"")*
   ((H10:H100=E10:E100)+((H10:H100=1)*(E10:E100=2))+((H10:H100=2)*(E10:E100=1))))
   /
   SUMPRODUCT(--((H10:H100&lt;&gt;"")+(E10:E100&lt;&gt;"")&gt;0)),
"")</f>
        <v>0.43243243243243246</v>
      </c>
      <c r="U7" s="10" cm="1">
        <f t="array" ref="U7">IFERROR(
   SUMPRODUCT((F10:F100&lt;&gt;"")*(H10:H100&lt;&gt;"")*
   ((F10:F100=H10:H100)+((F10:F100=1)*(H10:H100=2))+((F10:F100=2)*(H10:H100=1))))
   /
   SUMPRODUCT(--((F10:F100&lt;&gt;"")+(H10:H100&lt;&gt;"")&gt;0)),
"")</f>
        <v>0.48</v>
      </c>
      <c r="V7" s="10" cm="1">
        <f t="array" ref="V7">IFERROR(
   SUMPRODUCT((H10:H100&lt;&gt;"")*(G10:G100&lt;&gt;"")*
   ((H10:H100=G10:G100)+((H10:H100=1)*(G10:G100=2))+((H10:H100=2)*(G10:G100=1))))
   /
   SUMPRODUCT(--((H10:H100&lt;&gt;"")+(G10:G100&lt;&gt;"")&gt;0)),
"")</f>
        <v>0.51351351351351349</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6</v>
      </c>
      <c r="B10" s="2" t="s">
        <v>294</v>
      </c>
      <c r="C10">
        <v>0</v>
      </c>
      <c r="D10">
        <v>0</v>
      </c>
      <c r="E10">
        <v>0</v>
      </c>
      <c r="F10">
        <v>2</v>
      </c>
      <c r="G10">
        <v>2</v>
      </c>
      <c r="H10">
        <v>1</v>
      </c>
    </row>
    <row r="11" spans="1:23" ht="29" x14ac:dyDescent="0.35">
      <c r="A11" s="1"/>
      <c r="B11" s="2" t="s">
        <v>256</v>
      </c>
      <c r="C11">
        <v>2</v>
      </c>
      <c r="D11">
        <v>2</v>
      </c>
      <c r="E11">
        <v>1</v>
      </c>
      <c r="F11">
        <v>1</v>
      </c>
      <c r="G11">
        <v>1</v>
      </c>
      <c r="H11">
        <v>1</v>
      </c>
    </row>
    <row r="12" spans="1:23" x14ac:dyDescent="0.35">
      <c r="A12" s="1"/>
      <c r="B12" s="2" t="s">
        <v>306</v>
      </c>
      <c r="C12">
        <v>2</v>
      </c>
      <c r="D12">
        <v>2</v>
      </c>
      <c r="E12">
        <v>2</v>
      </c>
      <c r="F12">
        <v>2</v>
      </c>
      <c r="G12">
        <v>2</v>
      </c>
      <c r="H12">
        <v>2</v>
      </c>
    </row>
    <row r="13" spans="1:23" x14ac:dyDescent="0.35">
      <c r="A13" s="1"/>
      <c r="B13" s="2" t="s">
        <v>257</v>
      </c>
      <c r="C13">
        <v>2</v>
      </c>
      <c r="D13">
        <v>2</v>
      </c>
      <c r="E13">
        <v>2</v>
      </c>
      <c r="F13">
        <v>2</v>
      </c>
      <c r="G13">
        <v>2</v>
      </c>
      <c r="H13">
        <v>2</v>
      </c>
    </row>
    <row r="14" spans="1:23" x14ac:dyDescent="0.35">
      <c r="A14" s="1"/>
      <c r="B14" s="2" t="s">
        <v>258</v>
      </c>
      <c r="C14">
        <v>2</v>
      </c>
      <c r="D14">
        <v>2</v>
      </c>
      <c r="E14">
        <v>2</v>
      </c>
      <c r="F14">
        <v>2</v>
      </c>
      <c r="G14">
        <v>2</v>
      </c>
      <c r="H14">
        <v>2</v>
      </c>
    </row>
    <row r="15" spans="1:23" x14ac:dyDescent="0.35">
      <c r="A15" s="1"/>
      <c r="B15" s="2" t="s">
        <v>259</v>
      </c>
      <c r="C15">
        <v>1</v>
      </c>
      <c r="D15">
        <v>1</v>
      </c>
      <c r="E15">
        <v>1</v>
      </c>
      <c r="F15">
        <v>2</v>
      </c>
      <c r="G15">
        <v>2</v>
      </c>
      <c r="H15">
        <v>2</v>
      </c>
    </row>
    <row r="16" spans="1:23" x14ac:dyDescent="0.35">
      <c r="A16" s="1"/>
      <c r="B16" s="2" t="s">
        <v>260</v>
      </c>
      <c r="C16">
        <v>2</v>
      </c>
      <c r="D16">
        <v>2</v>
      </c>
      <c r="E16">
        <v>2</v>
      </c>
      <c r="F16">
        <v>2</v>
      </c>
      <c r="G16">
        <v>2</v>
      </c>
      <c r="H16">
        <v>2</v>
      </c>
    </row>
    <row r="17" spans="1:9" x14ac:dyDescent="0.35">
      <c r="B17" s="2" t="s">
        <v>261</v>
      </c>
      <c r="C17">
        <v>2</v>
      </c>
      <c r="D17">
        <v>2</v>
      </c>
      <c r="E17">
        <v>2</v>
      </c>
      <c r="F17">
        <v>2</v>
      </c>
      <c r="G17">
        <v>2</v>
      </c>
      <c r="H17">
        <v>2</v>
      </c>
    </row>
    <row r="18" spans="1:9" x14ac:dyDescent="0.35">
      <c r="B18" s="2" t="s">
        <v>262</v>
      </c>
      <c r="C18">
        <v>2</v>
      </c>
      <c r="D18">
        <v>2</v>
      </c>
      <c r="E18">
        <v>2</v>
      </c>
      <c r="F18">
        <v>2</v>
      </c>
      <c r="G18">
        <v>2</v>
      </c>
      <c r="H18">
        <v>2</v>
      </c>
    </row>
    <row r="19" spans="1:9" x14ac:dyDescent="0.35">
      <c r="A19" s="1"/>
      <c r="B19" s="2" t="s">
        <v>263</v>
      </c>
      <c r="C19">
        <v>2</v>
      </c>
      <c r="D19">
        <v>2</v>
      </c>
      <c r="E19">
        <v>2</v>
      </c>
      <c r="F19">
        <v>2</v>
      </c>
      <c r="G19">
        <v>2</v>
      </c>
      <c r="H19">
        <v>2</v>
      </c>
    </row>
    <row r="20" spans="1:9" x14ac:dyDescent="0.35">
      <c r="A20" s="1"/>
      <c r="B20" s="2" t="s">
        <v>264</v>
      </c>
      <c r="C20">
        <v>2</v>
      </c>
      <c r="D20">
        <v>2</v>
      </c>
      <c r="E20">
        <v>2</v>
      </c>
      <c r="F20">
        <v>2</v>
      </c>
      <c r="G20">
        <v>2</v>
      </c>
      <c r="H20">
        <v>2</v>
      </c>
    </row>
    <row r="21" spans="1:9" x14ac:dyDescent="0.35">
      <c r="A21" s="1" t="s">
        <v>284</v>
      </c>
      <c r="B21" s="2" t="s">
        <v>265</v>
      </c>
      <c r="C21">
        <v>0</v>
      </c>
      <c r="D21">
        <v>0</v>
      </c>
      <c r="E21">
        <v>0</v>
      </c>
      <c r="F21">
        <v>0</v>
      </c>
      <c r="G21">
        <v>0</v>
      </c>
      <c r="H21">
        <v>0</v>
      </c>
    </row>
    <row r="22" spans="1:9" x14ac:dyDescent="0.35">
      <c r="A22" s="1"/>
      <c r="B22" s="2" t="s">
        <v>266</v>
      </c>
      <c r="C22">
        <v>2</v>
      </c>
      <c r="D22">
        <v>2</v>
      </c>
      <c r="E22">
        <v>2</v>
      </c>
      <c r="F22">
        <v>2</v>
      </c>
      <c r="G22">
        <v>2</v>
      </c>
      <c r="H22">
        <v>2</v>
      </c>
    </row>
    <row r="23" spans="1:9" x14ac:dyDescent="0.35">
      <c r="A23" s="1"/>
      <c r="B23" s="2" t="s">
        <v>267</v>
      </c>
      <c r="C23">
        <v>2</v>
      </c>
      <c r="D23">
        <v>2</v>
      </c>
      <c r="E23">
        <v>2</v>
      </c>
      <c r="F23">
        <v>2</v>
      </c>
      <c r="G23">
        <v>2</v>
      </c>
      <c r="H23">
        <v>2</v>
      </c>
    </row>
    <row r="24" spans="1:9" s="3" customFormat="1" x14ac:dyDescent="0.35">
      <c r="F24" s="4"/>
      <c r="G24" s="4"/>
      <c r="H24" s="4"/>
      <c r="I24" s="4"/>
    </row>
    <row r="25" spans="1:9" x14ac:dyDescent="0.35">
      <c r="A25" s="1" t="s">
        <v>21</v>
      </c>
      <c r="B25" s="2" t="s">
        <v>295</v>
      </c>
      <c r="C25">
        <v>1</v>
      </c>
      <c r="D25">
        <v>1</v>
      </c>
      <c r="E25">
        <v>1</v>
      </c>
    </row>
    <row r="26" spans="1:9" x14ac:dyDescent="0.35">
      <c r="B26" s="2" t="s">
        <v>296</v>
      </c>
      <c r="C26">
        <v>1</v>
      </c>
      <c r="E26">
        <v>1</v>
      </c>
      <c r="F26">
        <v>1</v>
      </c>
    </row>
    <row r="27" spans="1:9" x14ac:dyDescent="0.35">
      <c r="B27" s="2" t="s">
        <v>297</v>
      </c>
      <c r="C27">
        <v>1</v>
      </c>
      <c r="D27">
        <v>1</v>
      </c>
      <c r="E27">
        <v>1</v>
      </c>
      <c r="H27">
        <v>1</v>
      </c>
    </row>
    <row r="28" spans="1:9" x14ac:dyDescent="0.35">
      <c r="B28" s="2" t="s">
        <v>298</v>
      </c>
      <c r="C28">
        <v>1</v>
      </c>
      <c r="D28">
        <v>1</v>
      </c>
      <c r="E28">
        <v>1</v>
      </c>
      <c r="F28">
        <v>1</v>
      </c>
      <c r="H28">
        <v>1</v>
      </c>
    </row>
    <row r="29" spans="1:9" x14ac:dyDescent="0.35">
      <c r="B29" s="2" t="s">
        <v>299</v>
      </c>
      <c r="C29">
        <v>1</v>
      </c>
      <c r="D29">
        <v>1</v>
      </c>
      <c r="E29">
        <v>1</v>
      </c>
    </row>
    <row r="30" spans="1:9" x14ac:dyDescent="0.35">
      <c r="B30" s="2" t="s">
        <v>327</v>
      </c>
      <c r="C30">
        <v>1</v>
      </c>
      <c r="D30">
        <v>1</v>
      </c>
      <c r="E30">
        <v>1</v>
      </c>
      <c r="F30">
        <v>1</v>
      </c>
    </row>
    <row r="31" spans="1:9" x14ac:dyDescent="0.35">
      <c r="B31" s="2" t="s">
        <v>300</v>
      </c>
      <c r="C31">
        <v>1</v>
      </c>
      <c r="D31">
        <v>1</v>
      </c>
      <c r="E31">
        <v>1</v>
      </c>
      <c r="F31">
        <v>1</v>
      </c>
    </row>
    <row r="32" spans="1:9" x14ac:dyDescent="0.35">
      <c r="B32" s="2" t="s">
        <v>301</v>
      </c>
      <c r="C32">
        <v>1</v>
      </c>
      <c r="D32">
        <v>1</v>
      </c>
      <c r="E32">
        <v>1</v>
      </c>
      <c r="F32">
        <v>1</v>
      </c>
    </row>
    <row r="33" spans="2:8" x14ac:dyDescent="0.35">
      <c r="B33" s="2" t="s">
        <v>302</v>
      </c>
      <c r="C33">
        <v>1</v>
      </c>
      <c r="D33">
        <v>1</v>
      </c>
      <c r="E33">
        <v>1</v>
      </c>
      <c r="F33">
        <v>1</v>
      </c>
      <c r="G33">
        <v>1</v>
      </c>
      <c r="H33">
        <v>1</v>
      </c>
    </row>
    <row r="34" spans="2:8" x14ac:dyDescent="0.35">
      <c r="B34" s="2" t="s">
        <v>303</v>
      </c>
      <c r="D34">
        <v>1</v>
      </c>
    </row>
    <row r="35" spans="2:8" x14ac:dyDescent="0.35">
      <c r="B35" s="2" t="s">
        <v>304</v>
      </c>
      <c r="E35">
        <v>0</v>
      </c>
      <c r="F35">
        <v>0</v>
      </c>
    </row>
    <row r="36" spans="2:8" x14ac:dyDescent="0.35">
      <c r="B36" s="2" t="s">
        <v>305</v>
      </c>
      <c r="E36">
        <v>1</v>
      </c>
    </row>
    <row r="37" spans="2:8" x14ac:dyDescent="0.35">
      <c r="B37" s="2" t="s">
        <v>307</v>
      </c>
      <c r="F37">
        <v>1</v>
      </c>
      <c r="G37">
        <v>1</v>
      </c>
    </row>
    <row r="38" spans="2:8" x14ac:dyDescent="0.35">
      <c r="B38" s="2" t="s">
        <v>308</v>
      </c>
      <c r="F38">
        <v>1</v>
      </c>
      <c r="G38">
        <v>1</v>
      </c>
    </row>
    <row r="39" spans="2:8" x14ac:dyDescent="0.35">
      <c r="B39" s="2" t="s">
        <v>309</v>
      </c>
      <c r="F39">
        <v>0</v>
      </c>
    </row>
    <row r="40" spans="2:8" x14ac:dyDescent="0.35">
      <c r="B40" s="2" t="s">
        <v>310</v>
      </c>
      <c r="F40">
        <v>1</v>
      </c>
    </row>
    <row r="41" spans="2:8" x14ac:dyDescent="0.35">
      <c r="B41" s="2" t="s">
        <v>311</v>
      </c>
      <c r="F41">
        <v>1</v>
      </c>
    </row>
    <row r="42" spans="2:8" x14ac:dyDescent="0.35">
      <c r="B42" s="2" t="s">
        <v>312</v>
      </c>
      <c r="F42">
        <v>1</v>
      </c>
      <c r="G42">
        <v>1</v>
      </c>
    </row>
    <row r="43" spans="2:8" x14ac:dyDescent="0.35">
      <c r="B43" s="2" t="s">
        <v>313</v>
      </c>
      <c r="F43">
        <v>0</v>
      </c>
    </row>
    <row r="44" spans="2:8" x14ac:dyDescent="0.35">
      <c r="B44" s="2" t="s">
        <v>314</v>
      </c>
      <c r="F44">
        <v>1</v>
      </c>
      <c r="H44">
        <v>1</v>
      </c>
    </row>
    <row r="45" spans="2:8" x14ac:dyDescent="0.35">
      <c r="B45" s="2" t="s">
        <v>315</v>
      </c>
      <c r="F45">
        <v>1</v>
      </c>
    </row>
    <row r="46" spans="2:8" x14ac:dyDescent="0.35">
      <c r="B46" s="2" t="s">
        <v>316</v>
      </c>
      <c r="F46">
        <v>0</v>
      </c>
    </row>
    <row r="47" spans="2:8" x14ac:dyDescent="0.35">
      <c r="B47" s="2" t="s">
        <v>317</v>
      </c>
      <c r="F47">
        <v>1</v>
      </c>
    </row>
    <row r="48" spans="2:8" x14ac:dyDescent="0.35">
      <c r="B48" s="2" t="s">
        <v>318</v>
      </c>
      <c r="F48">
        <v>1</v>
      </c>
    </row>
    <row r="49" spans="2:8" x14ac:dyDescent="0.35">
      <c r="B49" s="2" t="s">
        <v>319</v>
      </c>
      <c r="F49">
        <v>1</v>
      </c>
      <c r="G49">
        <v>1</v>
      </c>
      <c r="H49">
        <v>1</v>
      </c>
    </row>
    <row r="50" spans="2:8" x14ac:dyDescent="0.35">
      <c r="B50" s="2" t="s">
        <v>320</v>
      </c>
      <c r="F50">
        <v>1</v>
      </c>
      <c r="H50">
        <v>1</v>
      </c>
    </row>
    <row r="51" spans="2:8" x14ac:dyDescent="0.35">
      <c r="B51" s="2" t="s">
        <v>321</v>
      </c>
      <c r="F51">
        <v>1</v>
      </c>
      <c r="H51">
        <v>1</v>
      </c>
    </row>
    <row r="52" spans="2:8" x14ac:dyDescent="0.35">
      <c r="B52" s="2" t="s">
        <v>322</v>
      </c>
      <c r="F52">
        <v>1</v>
      </c>
      <c r="G52">
        <v>1</v>
      </c>
    </row>
    <row r="53" spans="2:8" x14ac:dyDescent="0.35">
      <c r="B53" s="2" t="s">
        <v>323</v>
      </c>
      <c r="F53">
        <v>1</v>
      </c>
      <c r="G53">
        <v>1</v>
      </c>
      <c r="H53">
        <v>1</v>
      </c>
    </row>
    <row r="54" spans="2:8" x14ac:dyDescent="0.35">
      <c r="B54" s="2" t="s">
        <v>324</v>
      </c>
      <c r="F54">
        <v>0</v>
      </c>
    </row>
    <row r="55" spans="2:8" x14ac:dyDescent="0.35">
      <c r="B55" s="2" t="s">
        <v>325</v>
      </c>
      <c r="F55">
        <v>1</v>
      </c>
      <c r="H55">
        <v>1</v>
      </c>
    </row>
    <row r="56" spans="2:8" x14ac:dyDescent="0.35">
      <c r="B56" s="2" t="s">
        <v>326</v>
      </c>
      <c r="F56">
        <v>1</v>
      </c>
      <c r="G56">
        <v>1</v>
      </c>
    </row>
    <row r="57" spans="2:8" x14ac:dyDescent="0.35">
      <c r="B57" s="2" t="s">
        <v>328</v>
      </c>
      <c r="F57">
        <v>1</v>
      </c>
    </row>
    <row r="58" spans="2:8" x14ac:dyDescent="0.35">
      <c r="B58" s="2" t="s">
        <v>329</v>
      </c>
      <c r="F58">
        <v>1</v>
      </c>
    </row>
    <row r="59" spans="2:8" x14ac:dyDescent="0.35">
      <c r="B59" s="2" t="s">
        <v>330</v>
      </c>
      <c r="F59">
        <v>1</v>
      </c>
      <c r="G59">
        <v>1</v>
      </c>
      <c r="H59">
        <v>1</v>
      </c>
    </row>
    <row r="60" spans="2:8" x14ac:dyDescent="0.35">
      <c r="B60" s="2" t="s">
        <v>331</v>
      </c>
      <c r="F60">
        <v>1</v>
      </c>
      <c r="G60">
        <v>1</v>
      </c>
      <c r="H60">
        <v>1</v>
      </c>
    </row>
    <row r="61" spans="2:8" x14ac:dyDescent="0.35">
      <c r="B61" s="2" t="s">
        <v>332</v>
      </c>
      <c r="G61">
        <v>0</v>
      </c>
    </row>
    <row r="62" spans="2:8" x14ac:dyDescent="0.35">
      <c r="B62" s="2" t="s">
        <v>333</v>
      </c>
      <c r="G62">
        <v>1</v>
      </c>
    </row>
    <row r="63" spans="2:8" x14ac:dyDescent="0.35">
      <c r="B63" s="2" t="s">
        <v>334</v>
      </c>
      <c r="G63">
        <v>1</v>
      </c>
    </row>
    <row r="64" spans="2:8" x14ac:dyDescent="0.35">
      <c r="B64" s="2" t="s">
        <v>335</v>
      </c>
      <c r="H64">
        <v>1</v>
      </c>
    </row>
    <row r="65" spans="2:8" x14ac:dyDescent="0.35">
      <c r="B65" s="2" t="s">
        <v>39</v>
      </c>
      <c r="H65">
        <v>0</v>
      </c>
    </row>
    <row r="66" spans="2:8" x14ac:dyDescent="0.35">
      <c r="B66" s="2" t="s">
        <v>336</v>
      </c>
      <c r="H66">
        <v>1</v>
      </c>
    </row>
    <row r="67" spans="2:8" x14ac:dyDescent="0.35">
      <c r="B67" s="2" t="s">
        <v>337</v>
      </c>
      <c r="H67">
        <v>0</v>
      </c>
    </row>
    <row r="69" spans="2:8" ht="15.5" x14ac:dyDescent="0.35">
      <c r="B69" s="8"/>
    </row>
    <row r="70" spans="2:8" ht="15.5" x14ac:dyDescent="0.35">
      <c r="B70" s="8"/>
    </row>
    <row r="71" spans="2:8" ht="15.5" x14ac:dyDescent="0.35">
      <c r="B71" s="9"/>
    </row>
    <row r="72" spans="2:8" ht="15.5" x14ac:dyDescent="0.35">
      <c r="B72" s="9"/>
    </row>
    <row r="73" spans="2:8" ht="15.5" x14ac:dyDescent="0.35">
      <c r="B73" s="8"/>
    </row>
    <row r="74" spans="2:8" x14ac:dyDescent="0.35">
      <c r="B74" s="6"/>
    </row>
  </sheetData>
  <conditionalFormatting sqref="C47:I53 C46:F46 H46:I46 H55:H60 F54:G54 F55:F60 C10:I45">
    <cfRule type="iconSet" priority="7">
      <iconSet iconSet="3Symbols">
        <cfvo type="percent" val="0"/>
        <cfvo type="percent" val="33"/>
        <cfvo type="percent" val="67"/>
      </iconSet>
    </cfRule>
  </conditionalFormatting>
  <conditionalFormatting sqref="F26:I45 F47:I47 F46 H46:I46">
    <cfRule type="iconSet" priority="6">
      <iconSet iconSet="3Symbols">
        <cfvo type="percent" val="0"/>
        <cfvo type="num" val="1"/>
        <cfvo type="num" val="2"/>
      </iconSet>
    </cfRule>
  </conditionalFormatting>
  <conditionalFormatting sqref="G55 G57:G58 G63">
    <cfRule type="iconSet" priority="4">
      <iconSet iconSet="3Symbols">
        <cfvo type="percent" val="0"/>
        <cfvo type="percent" val="33"/>
        <cfvo type="percent" val="67"/>
      </iconSet>
    </cfRule>
  </conditionalFormatting>
  <conditionalFormatting sqref="G56">
    <cfRule type="iconSet" priority="3">
      <iconSet iconSet="3Symbols">
        <cfvo type="percent" val="0"/>
        <cfvo type="num" val="1"/>
        <cfvo type="num" val="2"/>
      </iconSet>
    </cfRule>
  </conditionalFormatting>
  <conditionalFormatting sqref="G59:G62 F62:H72">
    <cfRule type="iconSet" priority="2">
      <iconSet iconSet="3Symbols">
        <cfvo type="percent" val="0"/>
        <cfvo type="num" val="1"/>
        <cfvo type="num" val="2"/>
      </iconSet>
    </cfRule>
  </conditionalFormatting>
  <conditionalFormatting sqref="G64:G65">
    <cfRule type="iconSet" priority="5">
      <iconSet iconSet="3Symbols">
        <cfvo type="percent" val="0"/>
        <cfvo type="percent" val="33"/>
        <cfvo type="percent" val="67"/>
      </iconSet>
    </cfRule>
  </conditionalFormatting>
  <conditionalFormatting sqref="J10:J19 J21:J46">
    <cfRule type="iconSet" priority="1">
      <iconSet>
        <cfvo type="percent" val="0"/>
        <cfvo type="num" val="1"/>
        <cfvo type="num" val="2"/>
      </iconSet>
    </cfRule>
  </conditionalFormatting>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42A57-C6D9-4B00-8EE4-7692F2E9A15C}">
  <dimension ref="A1:W68"/>
  <sheetViews>
    <sheetView zoomScale="73" workbookViewId="0">
      <selection activeCell="H7" sqref="H7"/>
    </sheetView>
  </sheetViews>
  <sheetFormatPr defaultRowHeight="14.5" x14ac:dyDescent="0.35"/>
  <cols>
    <col min="1" max="1" width="28" customWidth="1"/>
    <col min="2" max="2" width="35.453125" style="2" customWidth="1"/>
    <col min="3" max="8" width="15.453125" customWidth="1"/>
    <col min="10" max="10" width="12.54296875" customWidth="1"/>
    <col min="17" max="17" width="13.81640625" customWidth="1"/>
  </cols>
  <sheetData>
    <row r="1" spans="1:23" x14ac:dyDescent="0.35">
      <c r="A1" s="1" t="s">
        <v>352</v>
      </c>
      <c r="C1">
        <f xml:space="preserve"> SUM(C3:C4) / (C3+ C4+ C7) * 100</f>
        <v>100</v>
      </c>
      <c r="D1">
        <f t="shared" ref="D1:H1" si="0" xml:space="preserve"> SUM(D3:D4) / (D3+ D4+ D7) * 100</f>
        <v>100</v>
      </c>
      <c r="E1">
        <f t="shared" si="0"/>
        <v>96.296296296296291</v>
      </c>
      <c r="F1">
        <f t="shared" si="0"/>
        <v>95.652173913043484</v>
      </c>
      <c r="G1">
        <f t="shared" si="0"/>
        <v>100</v>
      </c>
      <c r="H1">
        <f t="shared" si="0"/>
        <v>100</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96.428571428571431</v>
      </c>
      <c r="D2">
        <f t="shared" ref="D2:H2" si="1" xml:space="preserve"> SUM(D3:D4) / SUM(D3:D5) *100</f>
        <v>96.428571428571431</v>
      </c>
      <c r="E2">
        <f t="shared" si="1"/>
        <v>92.857142857142861</v>
      </c>
      <c r="F2">
        <f t="shared" si="1"/>
        <v>78.571428571428569</v>
      </c>
      <c r="G2">
        <f t="shared" si="1"/>
        <v>67.857142857142861</v>
      </c>
      <c r="H2">
        <f t="shared" si="1"/>
        <v>75</v>
      </c>
      <c r="J2" s="1" t="s">
        <v>13</v>
      </c>
      <c r="K2" s="10"/>
      <c r="L2" s="10"/>
      <c r="M2" s="10"/>
      <c r="Q2" s="1" t="s">
        <v>13</v>
      </c>
      <c r="R2" s="10"/>
      <c r="S2" s="10"/>
      <c r="T2" s="10"/>
    </row>
    <row r="3" spans="1:23" x14ac:dyDescent="0.35">
      <c r="A3" s="1" t="s">
        <v>242</v>
      </c>
      <c r="C3" s="2">
        <f>COUNTIF(C10:C37, 2)</f>
        <v>23</v>
      </c>
      <c r="D3" s="2">
        <f t="shared" ref="D3:H3" si="2">COUNTIF(D10:D37, 2)</f>
        <v>22</v>
      </c>
      <c r="E3" s="2">
        <f t="shared" si="2"/>
        <v>21</v>
      </c>
      <c r="F3" s="2">
        <f t="shared" si="2"/>
        <v>19</v>
      </c>
      <c r="G3" s="2">
        <f t="shared" si="2"/>
        <v>14</v>
      </c>
      <c r="H3" s="2">
        <f t="shared" si="2"/>
        <v>16</v>
      </c>
      <c r="J3" s="1" t="s">
        <v>14</v>
      </c>
      <c r="K3" s="10" cm="1">
        <f t="array" ref="K3">IFERROR(SUMPRODUCT((C10:C100&lt;&gt;"")*(D10:D100&lt;&gt;"")*(C10:C100=D10:D100))/SUMPRODUCT(--((C10:C100&lt;&gt;"")+(D10:D100&lt;&gt;"")&gt;0)),"")</f>
        <v>0.61702127659574468</v>
      </c>
      <c r="L3" s="10"/>
      <c r="M3" s="10"/>
      <c r="Q3" s="1" t="s">
        <v>14</v>
      </c>
      <c r="R3" s="10" cm="1">
        <f t="array" ref="R3">IFERROR(
   SUMPRODUCT((C10:C100&lt;&gt;"")*(D10:D100&lt;&gt;"")*
   ((C10:C100=D10:D100)+((C10:C100=1)*(D10:D100=2))+((C10:C100=2)*(D10:D100=1))))
   /
   SUMPRODUCT(--((C10:C100&lt;&gt;"")+(D10:D100&lt;&gt;"")&gt;0)),
"")</f>
        <v>0.68085106382978722</v>
      </c>
      <c r="S3" s="10"/>
      <c r="T3" s="10"/>
    </row>
    <row r="4" spans="1:23" x14ac:dyDescent="0.35">
      <c r="A4" s="1" t="s">
        <v>243</v>
      </c>
      <c r="C4">
        <f>COUNTIF(C10:C37, 1)</f>
        <v>4</v>
      </c>
      <c r="D4">
        <f t="shared" ref="D4:H4" si="3">COUNTIF(D10:D37, 1)</f>
        <v>5</v>
      </c>
      <c r="E4">
        <f t="shared" si="3"/>
        <v>5</v>
      </c>
      <c r="F4">
        <f t="shared" si="3"/>
        <v>3</v>
      </c>
      <c r="G4">
        <f t="shared" si="3"/>
        <v>5</v>
      </c>
      <c r="H4">
        <f t="shared" si="3"/>
        <v>5</v>
      </c>
      <c r="J4" s="1" t="s">
        <v>15</v>
      </c>
      <c r="K4" s="10" cm="1">
        <f t="array" ref="K4">IFERROR(SUMPRODUCT((C10:C100&lt;&gt;"")*(E10:E100&lt;&gt;"")*(C10:C100=E10:E100))/SUMPRODUCT(--((C10:C100&lt;&gt;"")+(E10:E100&lt;&gt;"")&gt;0)),"")</f>
        <v>0.65306122448979587</v>
      </c>
      <c r="L4" s="10" cm="1">
        <f t="array" ref="L4">IFERROR(SUMPRODUCT((E10:E100&lt;&gt;"")*(D10:D100&lt;&gt;"")*(E10:E100=D10:D100))/SUMPRODUCT(--((E10:E100&lt;&gt;"")+(D10:D100&lt;&gt;"")&gt;0)),"")</f>
        <v>0.66666666666666663</v>
      </c>
      <c r="M4" s="10"/>
      <c r="Q4" s="1" t="s">
        <v>15</v>
      </c>
      <c r="R4" s="10" cm="1">
        <f t="array" ref="R4">IFERROR(
   SUMPRODUCT((C10:C100&lt;&gt;"")*(E10:E100&lt;&gt;"")*
   ((C10:C100=E10:E100)+((C10:C100=1)*(E10:E100=2))+((C10:C100=2)*(E10:E100=1))))
   /
   SUMPRODUCT(--((C10:C100&lt;&gt;"")+(E10:E100&lt;&gt;"")&gt;0)),
"")</f>
        <v>0.69387755102040816</v>
      </c>
      <c r="S4" s="10" cm="1">
        <f t="array" ref="S4">IFERROR(
   SUMPRODUCT((E10:E100&lt;&gt;"")*(D10:D100&lt;&gt;"")*
   ((E10:E100=D10:D100)+((E10:E100=1)*(D10:D100=2))+((E10:E100=2)*(D10:D100=1))))
   /
   SUMPRODUCT(--((E10:E100&lt;&gt;"")+(D10:D100&lt;&gt;"")&gt;0)),
"")</f>
        <v>0.70833333333333337</v>
      </c>
      <c r="T4" s="10"/>
    </row>
    <row r="5" spans="1:23" x14ac:dyDescent="0.35">
      <c r="A5" s="1" t="s">
        <v>244</v>
      </c>
      <c r="C5">
        <f>COUNTIF(C10:C37, 0)</f>
        <v>1</v>
      </c>
      <c r="D5">
        <f t="shared" ref="D5:H5" si="4">COUNTIF(D10:D37, 0)</f>
        <v>1</v>
      </c>
      <c r="E5">
        <f t="shared" si="4"/>
        <v>2</v>
      </c>
      <c r="F5">
        <f t="shared" si="4"/>
        <v>6</v>
      </c>
      <c r="G5">
        <f t="shared" si="4"/>
        <v>9</v>
      </c>
      <c r="H5">
        <f t="shared" si="4"/>
        <v>7</v>
      </c>
      <c r="J5" s="1" t="s">
        <v>16</v>
      </c>
      <c r="K5" s="11" cm="1">
        <f t="array" ref="K5">IFERROR(SUMPRODUCT((C10:C100&lt;&gt;"")*(F10:F100&lt;&gt;"")*(C10:C100=F10:F100))/SUMPRODUCT(--((C10:C100&lt;&gt;"")+(F10:F100&lt;&gt;"")&gt;0)),"")</f>
        <v>0.54545454545454541</v>
      </c>
      <c r="L5" s="11" cm="1">
        <f t="array" ref="L5">IFERROR(SUMPRODUCT((F10:F100&lt;&gt;"")*(D10:D100&lt;&gt;"")*(F10:F100=D10:D100))/SUMPRODUCT(--((F10:F100&lt;&gt;"")+(D10:D100&lt;&gt;"")&gt;0)),"")</f>
        <v>0.46666666666666667</v>
      </c>
      <c r="M5" s="11" cm="1">
        <f t="array" ref="M5">IFERROR(SUMPRODUCT((F10:F100&lt;&gt;"")*(E10:E100&lt;&gt;"")*(F10:F100=E10:E100))/SUMPRODUCT(--((F10:F100&lt;&gt;"")+(E10:E100&lt;&gt;"")&gt;0)),"")</f>
        <v>0.46938775510204084</v>
      </c>
      <c r="N5" s="10"/>
      <c r="O5" s="10"/>
      <c r="Q5" s="1" t="s">
        <v>16</v>
      </c>
      <c r="R5" s="11" cm="1">
        <f t="array" ref="R5">IFERROR(
   SUMPRODUCT((C10:C100&lt;&gt;"")*(F10:F100&lt;&gt;"")*
   ((C10:C100=F10:F100)+((C10:C100=1)*(F10:F100=2))+((C10:C100=2)*(F10:F100=1))))
   /
   SUMPRODUCT(--((C10:C100&lt;&gt;"")+(F10:F100&lt;&gt;"")&gt;0)),
"")</f>
        <v>0.61363636363636365</v>
      </c>
      <c r="S5" s="11" cm="1">
        <f t="array" ref="S5">IFERROR(
   SUMPRODUCT((F10:F100&lt;&gt;"")*(D10:D100&lt;&gt;"")*
   ((F10:F100=D10:D100)+((F10:F100=1)*(D10:D100=2))+((F10:F100=2)*(D10:D100=1))))
   /
   SUMPRODUCT(--((F10:F100&lt;&gt;"")+(D10:D100&lt;&gt;"")&gt;0)),
"")</f>
        <v>0.55555555555555558</v>
      </c>
      <c r="T5" s="11" cm="1">
        <f t="array" ref="T5">IFERROR(
   SUMPRODUCT((F10:F100&lt;&gt;"")*(E10:E100&lt;&gt;"")*
   ((F10:F100=E10:E100)+((F10:F100=1)*(E10:E100=2))+((F10:F100=2)*(E10:E100=1))))
   /
   SUMPRODUCT(--((F10:F100&lt;&gt;"")+(E10:E100&lt;&gt;"")&gt;0)),
"")</f>
        <v>0.55102040816326525</v>
      </c>
      <c r="U5" s="10"/>
      <c r="V5" s="10"/>
    </row>
    <row r="6" spans="1:23" x14ac:dyDescent="0.35">
      <c r="A6" s="1" t="s">
        <v>245</v>
      </c>
      <c r="C6">
        <f>COUNTIF(C39:C68,0) + COUNTIF(C39:C68,1)</f>
        <v>12</v>
      </c>
      <c r="D6">
        <f t="shared" ref="D6:H6" si="5">COUNTIF(D39:D68,0) + COUNTIF(D39:D68,1)</f>
        <v>11</v>
      </c>
      <c r="E6">
        <f t="shared" si="5"/>
        <v>16</v>
      </c>
      <c r="F6">
        <f t="shared" si="5"/>
        <v>8</v>
      </c>
      <c r="G6">
        <f t="shared" si="5"/>
        <v>0</v>
      </c>
      <c r="H6">
        <f t="shared" si="5"/>
        <v>7</v>
      </c>
      <c r="J6" s="1" t="s">
        <v>17</v>
      </c>
      <c r="K6" s="11" cm="1">
        <f t="array" ref="K6">IFERROR(SUMPRODUCT((C10:C100&lt;&gt;"")*(G10:G100&lt;&gt;"")*(C10:C100=G10:G100))/SUMPRODUCT(--((C10:C100&lt;&gt;"")+(G10:G100&lt;&gt;"")&gt;0)),"")</f>
        <v>0.42499999999999999</v>
      </c>
      <c r="L6" s="11" cm="1">
        <f t="array" ref="L6">SUMPRODUCT((D10:D100&lt;&gt;0)*(G10:G100&lt;&gt;0)) / SUMPRODUCT(((D10:D100&lt;&gt;0)+(G10:G100&lt;&gt;0)&gt;0)*1)</f>
        <v>0.5</v>
      </c>
      <c r="M6" s="11" cm="1">
        <f t="array" ref="M6">IFERROR(SUMPRODUCT((G10:G100&lt;&gt;"")*(E10:E100&lt;&gt;"")*(G10:G100=E10:E100))/SUMPRODUCT(--((G10:G100&lt;&gt;"")+(E10:E100&lt;&gt;"")&gt;0)),"")</f>
        <v>0.43181818181818182</v>
      </c>
      <c r="N6" s="10" cm="1">
        <f t="array" ref="N6">IFERROR(SUMPRODUCT((G10:G100&lt;&gt;"")*(F10:F100&lt;&gt;"")*(G10:G100=F10:F100))/SUMPRODUCT(--((G10:G100&lt;&gt;"")+(F10:F100&lt;&gt;"")&gt;0)),"")</f>
        <v>0.55555555555555558</v>
      </c>
      <c r="O6" s="10"/>
      <c r="Q6" s="1" t="s">
        <v>17</v>
      </c>
      <c r="R6" s="11" cm="1">
        <f t="array" ref="R6">IFERROR(
   SUMPRODUCT((C10:C100&lt;&gt;"")*(G10:G100&lt;&gt;"")*
   ((C10:C100=G10:G100)+((C10:C100=1)*(G10:G100=2))+((C10:C100=2)*(G10:G100=1))))
   /
   SUMPRODUCT(--((C10:C100&lt;&gt;"")+(G10:G100&lt;&gt;"")&gt;0)),
"")</f>
        <v>0.5</v>
      </c>
      <c r="S6" s="11" cm="1">
        <f t="array" ref="S6">IFERROR(
   SUMPRODUCT((D10:D100&lt;&gt;"")*(G10:G100&lt;&gt;"")*
   ((D10:D100=G10:G100)+((D10:D100=1)*(G10:G100=2))+((D10:D100=2)*(G10:G100=1))))
   /
   SUMPRODUCT(--((D10:D100&lt;&gt;"")+(G10:G100&lt;&gt;"")&gt;0)),
"")</f>
        <v>0.51282051282051277</v>
      </c>
      <c r="T6" s="11" cm="1">
        <f t="array" ref="T6">IFERROR(
   SUMPRODUCT((G10:G100&lt;&gt;"")*(E10:E100&lt;&gt;"")*
   ((G10:G100=E10:E100)+((G10:G100=1)*(E10:E100=2))+((G10:G100=2)*(E10:E100=1))))
   /
   SUMPRODUCT(--((G10:G100&lt;&gt;"")+(E10:E100&lt;&gt;"")&gt;0)),
"")</f>
        <v>0.47727272727272729</v>
      </c>
      <c r="U6" s="10" cm="1">
        <f t="array" ref="U6">IFERROR(
   SUMPRODUCT((F10:F100&lt;&gt;"")*(G10:G100&lt;&gt;"")*
   ((F10:F100=G10:G100)+((F10:F100=1)*(G10:G100=2))+((F10:F100=2)*(G10:G100=1))))
   /
   SUMPRODUCT(--((F10:F100&lt;&gt;"")+(G10:G100&lt;&gt;"")&gt;0)),
"")</f>
        <v>0.63888888888888884</v>
      </c>
      <c r="V6" s="10"/>
    </row>
    <row r="7" spans="1:23" x14ac:dyDescent="0.35">
      <c r="A7" s="1" t="s">
        <v>246</v>
      </c>
      <c r="C7">
        <f>COUNTIF(C39:C68,0)</f>
        <v>0</v>
      </c>
      <c r="D7">
        <f t="shared" ref="D7:H7" si="6">COUNTIF(D39:D68,0)</f>
        <v>0</v>
      </c>
      <c r="E7">
        <f t="shared" si="6"/>
        <v>1</v>
      </c>
      <c r="F7">
        <f t="shared" si="6"/>
        <v>1</v>
      </c>
      <c r="G7">
        <f t="shared" si="6"/>
        <v>0</v>
      </c>
      <c r="H7">
        <f t="shared" si="6"/>
        <v>0</v>
      </c>
      <c r="J7" s="1" t="s">
        <v>18</v>
      </c>
      <c r="K7" s="11" cm="1">
        <f t="array" ref="K7">IFERROR(SUMPRODUCT((C10:C100&lt;&gt;"")*(H10:H100&lt;&gt;"")*(C10:C100=H10:H100))/SUMPRODUCT(--((C10:C100&lt;&gt;"")+(H10:H100&lt;&gt;"")&gt;0)),"")</f>
        <v>0.47727272727272729</v>
      </c>
      <c r="L7" s="11" cm="1">
        <f t="array" ref="L7">IFERROR(SUMPRODUCT((H10:H100&lt;&gt;"")*(D10:D100&lt;&gt;"")*(H10:H100=D10:D100))/SUMPRODUCT(--((H10:H100&lt;&gt;"")+(D10:D100&lt;&gt;"")&gt;0)),"")</f>
        <v>0.52380952380952384</v>
      </c>
      <c r="M7" s="11" cm="1">
        <f t="array" ref="M7">IFERROR(SUMPRODUCT((H10:H100&lt;&gt;"")*(E10:E100&lt;&gt;"")*(H10:H100=E10:E100))/SUMPRODUCT(--((H10:H100&lt;&gt;"")+(E10:E100&lt;&gt;"")&gt;0)),"")</f>
        <v>0.45833333333333331</v>
      </c>
      <c r="N7" s="10" cm="1">
        <f t="array" ref="N7">IFERROR(SUMPRODUCT((F10:F100&lt;&gt;"")*(H10:H100&lt;&gt;"")*(F10:F100=H10:H100))/SUMPRODUCT(--((F10:F100&lt;&gt;"")+(H10:H100&lt;&gt;"")&gt;0)),"")</f>
        <v>0.56097560975609762</v>
      </c>
      <c r="O7" s="10" cm="1">
        <f t="array" ref="O7">IFERROR(SUMPRODUCT((G10:G100&lt;&gt;"")*(H10:H100&lt;&gt;"")*(G10:G100=H10:H100))/SUMPRODUCT(--((G10:G100&lt;&gt;"")+(H10:H100&lt;&gt;"")&gt;0)),"")</f>
        <v>0.6</v>
      </c>
      <c r="Q7" s="1" t="s">
        <v>18</v>
      </c>
      <c r="R7" s="11" cm="1">
        <f t="array" ref="R7">IFERROR(
   SUMPRODUCT((C10:C100&lt;&gt;"")*(H10:H100&lt;&gt;"")*
   ((C10:C100=H10:H100)+((C10:C100=1)*(H10:H100=2))+((C10:C100=2)*(H10:H100=1))))
   /
   SUMPRODUCT(--((C10:C100&lt;&gt;"")+(H10:H100&lt;&gt;"")&gt;0)),
"")</f>
        <v>0.56818181818181823</v>
      </c>
      <c r="S7" s="11" cm="1">
        <f t="array" ref="S7">IFERROR(
   SUMPRODUCT((H10:H100&lt;&gt;"")*(D10:D100&lt;&gt;"")*
   ((H10:H100=D10:D100)+((H10:H100=1)*(D10:D100=2))+((H10:H100=2)*(D10:D100=1))))
   /
   SUMPRODUCT(--((H10:H100&lt;&gt;"")+(D10:D100&lt;&gt;"")&gt;0)),
"")</f>
        <v>0.61904761904761907</v>
      </c>
      <c r="T7" s="11" cm="1">
        <f t="array" ref="T7">IFERROR(
   SUMPRODUCT((H10:H100&lt;&gt;"")*(E10:E100&lt;&gt;"")*
   ((H10:H100=E10:E100)+((H10:H100=1)*(E10:E100=2))+((H10:H100=2)*(E10:E100=1))))
   /
   SUMPRODUCT(--((H10:H100&lt;&gt;"")+(E10:E100&lt;&gt;"")&gt;0)),
"")</f>
        <v>0.54166666666666663</v>
      </c>
      <c r="U7" s="10" cm="1">
        <f t="array" ref="U7">IFERROR(
   SUMPRODUCT((F10:F100&lt;&gt;"")*(H10:H100&lt;&gt;"")*
   ((F10:F100=H10:H100)+((F10:F100=1)*(H10:H100=2))+((F10:F100=2)*(H10:H100=1))))
   /
   SUMPRODUCT(--((F10:F100&lt;&gt;"")+(H10:H100&lt;&gt;"")&gt;0)),
"")</f>
        <v>0.6097560975609756</v>
      </c>
      <c r="V7" s="10" cm="1">
        <f t="array" ref="V7">IFERROR(
   SUMPRODUCT((H10:H100&lt;&gt;"")*(G10:G100&lt;&gt;"")*
   ((H10:H100=G10:G100)+((H10:H100=1)*(G10:G100=2))+((H10:H100=2)*(G10:G100=1))))
   /
   SUMPRODUCT(--((H10:H100&lt;&gt;"")+(G10:G100&lt;&gt;"")&gt;0)),
"")</f>
        <v>0.68571428571428572</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5</v>
      </c>
      <c r="B10" s="2" t="s">
        <v>122</v>
      </c>
      <c r="C10">
        <v>2</v>
      </c>
      <c r="D10">
        <v>2</v>
      </c>
      <c r="E10">
        <v>2</v>
      </c>
      <c r="F10">
        <v>2</v>
      </c>
      <c r="G10" s="1">
        <v>2</v>
      </c>
      <c r="H10" s="1">
        <v>2</v>
      </c>
    </row>
    <row r="11" spans="1:23" x14ac:dyDescent="0.35">
      <c r="A11" s="1"/>
      <c r="B11" s="2" t="s">
        <v>123</v>
      </c>
      <c r="C11">
        <v>2</v>
      </c>
      <c r="D11">
        <v>2</v>
      </c>
      <c r="E11">
        <v>2</v>
      </c>
      <c r="F11">
        <v>2</v>
      </c>
      <c r="G11" s="1">
        <v>0</v>
      </c>
      <c r="H11" s="1">
        <v>0</v>
      </c>
    </row>
    <row r="12" spans="1:23" x14ac:dyDescent="0.35">
      <c r="A12" s="1"/>
      <c r="B12" s="2" t="s">
        <v>124</v>
      </c>
      <c r="C12">
        <v>2</v>
      </c>
      <c r="D12">
        <v>2</v>
      </c>
      <c r="E12">
        <v>2</v>
      </c>
      <c r="F12">
        <v>2</v>
      </c>
      <c r="G12" s="1">
        <v>2</v>
      </c>
      <c r="H12" s="1">
        <v>0</v>
      </c>
    </row>
    <row r="13" spans="1:23" x14ac:dyDescent="0.35">
      <c r="A13" s="5" t="s">
        <v>125</v>
      </c>
      <c r="B13" s="2" t="s">
        <v>126</v>
      </c>
      <c r="C13">
        <v>2</v>
      </c>
      <c r="D13">
        <v>2</v>
      </c>
      <c r="E13">
        <v>2</v>
      </c>
      <c r="F13">
        <v>2</v>
      </c>
      <c r="G13" s="1">
        <v>2</v>
      </c>
      <c r="H13" s="1">
        <v>2</v>
      </c>
    </row>
    <row r="14" spans="1:23" x14ac:dyDescent="0.35">
      <c r="A14" s="1" t="s">
        <v>6</v>
      </c>
      <c r="B14" s="2" t="s">
        <v>127</v>
      </c>
      <c r="C14">
        <v>2</v>
      </c>
      <c r="D14">
        <v>2</v>
      </c>
      <c r="E14">
        <v>2</v>
      </c>
      <c r="F14">
        <v>1</v>
      </c>
      <c r="G14" s="1">
        <v>1</v>
      </c>
      <c r="H14" s="1">
        <v>1</v>
      </c>
    </row>
    <row r="15" spans="1:23" x14ac:dyDescent="0.35">
      <c r="A15" s="1"/>
      <c r="B15" s="2" t="s">
        <v>128</v>
      </c>
      <c r="C15">
        <v>2</v>
      </c>
      <c r="D15">
        <v>2</v>
      </c>
      <c r="E15">
        <v>2</v>
      </c>
      <c r="F15">
        <v>2</v>
      </c>
      <c r="G15" s="1">
        <v>2</v>
      </c>
      <c r="H15" s="1">
        <v>2</v>
      </c>
    </row>
    <row r="16" spans="1:23" x14ac:dyDescent="0.35">
      <c r="A16" s="1"/>
      <c r="B16" s="2" t="s">
        <v>129</v>
      </c>
      <c r="C16">
        <v>2</v>
      </c>
      <c r="D16">
        <v>2</v>
      </c>
      <c r="E16">
        <v>2</v>
      </c>
      <c r="F16">
        <v>2</v>
      </c>
      <c r="G16" s="1">
        <v>2</v>
      </c>
      <c r="H16" s="1">
        <v>2</v>
      </c>
    </row>
    <row r="17" spans="1:8" x14ac:dyDescent="0.35">
      <c r="A17" s="1"/>
      <c r="B17" s="2" t="s">
        <v>130</v>
      </c>
      <c r="C17">
        <v>2</v>
      </c>
      <c r="D17">
        <v>2</v>
      </c>
      <c r="E17">
        <v>2</v>
      </c>
      <c r="F17">
        <v>2</v>
      </c>
      <c r="G17" s="1">
        <v>2</v>
      </c>
      <c r="H17" s="1">
        <v>2</v>
      </c>
    </row>
    <row r="18" spans="1:8" x14ac:dyDescent="0.35">
      <c r="A18" s="1"/>
      <c r="B18" s="2" t="s">
        <v>131</v>
      </c>
      <c r="C18">
        <v>1</v>
      </c>
      <c r="D18">
        <v>1</v>
      </c>
      <c r="E18">
        <v>1</v>
      </c>
      <c r="F18">
        <v>2</v>
      </c>
      <c r="G18" s="1">
        <v>0</v>
      </c>
      <c r="H18" s="1">
        <v>2</v>
      </c>
    </row>
    <row r="19" spans="1:8" x14ac:dyDescent="0.35">
      <c r="A19" s="1"/>
      <c r="B19" s="2" t="s">
        <v>132</v>
      </c>
      <c r="C19">
        <v>2</v>
      </c>
      <c r="D19">
        <v>2</v>
      </c>
      <c r="E19">
        <v>2</v>
      </c>
      <c r="F19">
        <v>2</v>
      </c>
      <c r="G19" s="1">
        <v>2</v>
      </c>
      <c r="H19" s="1">
        <v>2</v>
      </c>
    </row>
    <row r="20" spans="1:8" x14ac:dyDescent="0.35">
      <c r="A20" s="1"/>
      <c r="B20" s="2" t="s">
        <v>133</v>
      </c>
      <c r="C20">
        <v>2</v>
      </c>
      <c r="D20">
        <v>2</v>
      </c>
      <c r="E20">
        <v>2</v>
      </c>
      <c r="F20">
        <v>1</v>
      </c>
      <c r="G20" s="1">
        <v>2</v>
      </c>
      <c r="H20" s="1">
        <v>2</v>
      </c>
    </row>
    <row r="21" spans="1:8" x14ac:dyDescent="0.35">
      <c r="B21" s="2" t="s">
        <v>134</v>
      </c>
      <c r="C21">
        <v>2</v>
      </c>
      <c r="D21">
        <v>2</v>
      </c>
      <c r="E21">
        <v>2</v>
      </c>
      <c r="F21">
        <v>2</v>
      </c>
      <c r="G21" s="1">
        <v>0</v>
      </c>
      <c r="H21" s="1">
        <v>2</v>
      </c>
    </row>
    <row r="22" spans="1:8" x14ac:dyDescent="0.35">
      <c r="B22" s="2" t="s">
        <v>135</v>
      </c>
      <c r="C22">
        <v>2</v>
      </c>
      <c r="D22">
        <v>2</v>
      </c>
      <c r="E22">
        <v>1</v>
      </c>
      <c r="F22">
        <v>2</v>
      </c>
      <c r="G22" s="1">
        <v>1</v>
      </c>
      <c r="H22" s="1">
        <v>2</v>
      </c>
    </row>
    <row r="23" spans="1:8" x14ac:dyDescent="0.35">
      <c r="A23" s="1"/>
      <c r="B23" s="2" t="s">
        <v>136</v>
      </c>
      <c r="C23">
        <v>1</v>
      </c>
      <c r="D23">
        <v>2</v>
      </c>
      <c r="E23">
        <v>0</v>
      </c>
      <c r="F23">
        <v>0</v>
      </c>
      <c r="G23" s="1">
        <v>0</v>
      </c>
      <c r="H23" s="1">
        <v>0</v>
      </c>
    </row>
    <row r="24" spans="1:8" x14ac:dyDescent="0.35">
      <c r="A24" s="1"/>
      <c r="B24" s="2" t="s">
        <v>137</v>
      </c>
      <c r="C24">
        <v>1</v>
      </c>
      <c r="D24">
        <v>1</v>
      </c>
      <c r="E24">
        <v>1</v>
      </c>
      <c r="F24">
        <v>0</v>
      </c>
      <c r="G24" s="1">
        <v>1</v>
      </c>
      <c r="H24" s="1">
        <v>1</v>
      </c>
    </row>
    <row r="25" spans="1:8" x14ac:dyDescent="0.35">
      <c r="A25" s="1"/>
      <c r="B25" s="2" t="s">
        <v>138</v>
      </c>
      <c r="C25">
        <v>1</v>
      </c>
      <c r="D25">
        <v>1</v>
      </c>
      <c r="E25">
        <v>1</v>
      </c>
      <c r="F25">
        <v>1</v>
      </c>
      <c r="G25" s="1">
        <v>1</v>
      </c>
      <c r="H25" s="1">
        <v>1</v>
      </c>
    </row>
    <row r="26" spans="1:8" x14ac:dyDescent="0.35">
      <c r="A26" s="1"/>
      <c r="B26" s="2" t="s">
        <v>139</v>
      </c>
      <c r="C26">
        <v>2</v>
      </c>
      <c r="D26">
        <v>1</v>
      </c>
      <c r="E26">
        <v>2</v>
      </c>
      <c r="F26">
        <v>2</v>
      </c>
      <c r="G26" s="1">
        <v>2</v>
      </c>
      <c r="H26" s="1">
        <v>2</v>
      </c>
    </row>
    <row r="27" spans="1:8" x14ac:dyDescent="0.35">
      <c r="A27" s="1"/>
      <c r="B27" s="2" t="s">
        <v>140</v>
      </c>
      <c r="C27">
        <v>2</v>
      </c>
      <c r="D27">
        <v>2</v>
      </c>
      <c r="E27">
        <v>2</v>
      </c>
      <c r="F27">
        <v>2</v>
      </c>
      <c r="G27" s="1">
        <v>2</v>
      </c>
      <c r="H27" s="1">
        <v>2</v>
      </c>
    </row>
    <row r="28" spans="1:8" x14ac:dyDescent="0.35">
      <c r="A28" s="1"/>
      <c r="B28" s="2" t="s">
        <v>141</v>
      </c>
      <c r="C28">
        <v>2</v>
      </c>
      <c r="D28">
        <v>2</v>
      </c>
      <c r="E28">
        <v>2</v>
      </c>
      <c r="F28">
        <v>2</v>
      </c>
      <c r="G28" s="1">
        <v>2</v>
      </c>
      <c r="H28" s="1">
        <v>2</v>
      </c>
    </row>
    <row r="29" spans="1:8" x14ac:dyDescent="0.35">
      <c r="A29" s="1"/>
      <c r="B29" s="2" t="s">
        <v>142</v>
      </c>
      <c r="C29">
        <v>2</v>
      </c>
      <c r="D29">
        <v>2</v>
      </c>
      <c r="E29">
        <v>2</v>
      </c>
      <c r="F29">
        <v>2</v>
      </c>
      <c r="G29" s="1">
        <v>2</v>
      </c>
      <c r="H29" s="1">
        <v>2</v>
      </c>
    </row>
    <row r="30" spans="1:8" x14ac:dyDescent="0.35">
      <c r="A30" s="1"/>
      <c r="B30" s="2" t="s">
        <v>143</v>
      </c>
      <c r="C30">
        <v>2</v>
      </c>
      <c r="D30">
        <v>1</v>
      </c>
      <c r="E30">
        <v>1</v>
      </c>
      <c r="F30">
        <v>0</v>
      </c>
      <c r="G30" s="1">
        <v>0</v>
      </c>
      <c r="H30" s="1">
        <v>1</v>
      </c>
    </row>
    <row r="31" spans="1:8" x14ac:dyDescent="0.35">
      <c r="A31" s="1"/>
      <c r="B31" s="2" t="s">
        <v>144</v>
      </c>
      <c r="C31">
        <v>2</v>
      </c>
      <c r="D31">
        <v>2</v>
      </c>
      <c r="E31">
        <v>2</v>
      </c>
      <c r="F31">
        <v>2</v>
      </c>
      <c r="G31" s="1">
        <v>2</v>
      </c>
      <c r="H31" s="1">
        <v>1</v>
      </c>
    </row>
    <row r="32" spans="1:8" x14ac:dyDescent="0.35">
      <c r="A32" s="1"/>
      <c r="B32" s="2" t="s">
        <v>145</v>
      </c>
      <c r="C32">
        <v>2</v>
      </c>
      <c r="D32">
        <v>2</v>
      </c>
      <c r="E32">
        <v>2</v>
      </c>
      <c r="F32">
        <v>2</v>
      </c>
      <c r="G32" s="1">
        <v>2</v>
      </c>
      <c r="H32" s="1">
        <v>2</v>
      </c>
    </row>
    <row r="33" spans="1:9" x14ac:dyDescent="0.35">
      <c r="A33" s="1"/>
      <c r="B33" s="2" t="s">
        <v>146</v>
      </c>
      <c r="C33">
        <v>2</v>
      </c>
      <c r="D33">
        <v>2</v>
      </c>
      <c r="E33">
        <v>2</v>
      </c>
      <c r="F33">
        <v>0</v>
      </c>
      <c r="G33" s="1">
        <v>0</v>
      </c>
      <c r="H33" s="1">
        <v>0</v>
      </c>
    </row>
    <row r="34" spans="1:9" x14ac:dyDescent="0.35">
      <c r="A34" s="1" t="s">
        <v>19</v>
      </c>
      <c r="B34" s="2" t="s">
        <v>147</v>
      </c>
      <c r="C34">
        <v>2</v>
      </c>
      <c r="D34">
        <v>2</v>
      </c>
      <c r="E34">
        <v>2</v>
      </c>
      <c r="F34">
        <v>2</v>
      </c>
      <c r="G34" s="1">
        <v>1</v>
      </c>
      <c r="H34" s="1">
        <v>2</v>
      </c>
    </row>
    <row r="35" spans="1:9" x14ac:dyDescent="0.35">
      <c r="A35" s="1"/>
      <c r="B35" s="2" t="s">
        <v>148</v>
      </c>
      <c r="C35">
        <v>2</v>
      </c>
      <c r="D35">
        <v>2</v>
      </c>
      <c r="E35">
        <v>2</v>
      </c>
      <c r="F35">
        <v>2</v>
      </c>
      <c r="G35" s="1">
        <v>0</v>
      </c>
      <c r="H35" s="1">
        <v>0</v>
      </c>
    </row>
    <row r="36" spans="1:9" x14ac:dyDescent="0.35">
      <c r="A36" s="1"/>
      <c r="B36" s="2" t="s">
        <v>149</v>
      </c>
      <c r="C36">
        <v>2</v>
      </c>
      <c r="D36">
        <v>2</v>
      </c>
      <c r="E36">
        <v>2</v>
      </c>
      <c r="F36">
        <v>0</v>
      </c>
      <c r="G36" s="1">
        <v>0</v>
      </c>
      <c r="H36" s="1">
        <v>0</v>
      </c>
    </row>
    <row r="37" spans="1:9" x14ac:dyDescent="0.35">
      <c r="A37" s="1"/>
      <c r="B37" s="2" t="s">
        <v>150</v>
      </c>
      <c r="C37">
        <v>0</v>
      </c>
      <c r="D37">
        <v>0</v>
      </c>
      <c r="E37">
        <v>0</v>
      </c>
      <c r="F37">
        <v>0</v>
      </c>
      <c r="G37" s="1">
        <v>0</v>
      </c>
      <c r="H37" s="1">
        <v>0</v>
      </c>
    </row>
    <row r="38" spans="1:9" s="3" customFormat="1" x14ac:dyDescent="0.35">
      <c r="F38" s="4"/>
      <c r="G38" s="4"/>
      <c r="H38" s="4"/>
      <c r="I38" s="4"/>
    </row>
    <row r="39" spans="1:9" x14ac:dyDescent="0.35">
      <c r="A39" s="1" t="s">
        <v>21</v>
      </c>
      <c r="B39" s="2" t="s">
        <v>151</v>
      </c>
      <c r="C39">
        <v>1</v>
      </c>
    </row>
    <row r="40" spans="1:9" x14ac:dyDescent="0.35">
      <c r="B40" s="2" t="s">
        <v>172</v>
      </c>
      <c r="C40">
        <v>1</v>
      </c>
      <c r="D40">
        <v>1</v>
      </c>
      <c r="E40">
        <v>1</v>
      </c>
    </row>
    <row r="41" spans="1:9" x14ac:dyDescent="0.35">
      <c r="B41" s="2" t="s">
        <v>152</v>
      </c>
      <c r="C41">
        <v>1</v>
      </c>
      <c r="F41">
        <v>1</v>
      </c>
    </row>
    <row r="42" spans="1:9" x14ac:dyDescent="0.35">
      <c r="B42" s="2" t="s">
        <v>153</v>
      </c>
      <c r="C42">
        <v>1</v>
      </c>
      <c r="D42">
        <v>1</v>
      </c>
      <c r="E42">
        <v>1</v>
      </c>
      <c r="H42">
        <v>1</v>
      </c>
    </row>
    <row r="43" spans="1:9" x14ac:dyDescent="0.35">
      <c r="B43" s="2" t="s">
        <v>154</v>
      </c>
      <c r="C43">
        <v>1</v>
      </c>
      <c r="E43">
        <v>1</v>
      </c>
    </row>
    <row r="44" spans="1:9" x14ac:dyDescent="0.35">
      <c r="B44" s="2" t="s">
        <v>155</v>
      </c>
      <c r="C44">
        <v>1</v>
      </c>
      <c r="E44">
        <v>1</v>
      </c>
      <c r="F44">
        <v>1</v>
      </c>
    </row>
    <row r="45" spans="1:9" x14ac:dyDescent="0.35">
      <c r="B45" s="2" t="s">
        <v>156</v>
      </c>
      <c r="C45">
        <v>1</v>
      </c>
      <c r="E45">
        <v>1</v>
      </c>
    </row>
    <row r="46" spans="1:9" x14ac:dyDescent="0.35">
      <c r="B46" s="2" t="s">
        <v>157</v>
      </c>
      <c r="C46">
        <v>1</v>
      </c>
    </row>
    <row r="47" spans="1:9" x14ac:dyDescent="0.35">
      <c r="B47" s="2" t="s">
        <v>163</v>
      </c>
      <c r="C47">
        <v>1</v>
      </c>
      <c r="D47">
        <v>1</v>
      </c>
      <c r="E47">
        <v>1</v>
      </c>
      <c r="H47">
        <v>1</v>
      </c>
    </row>
    <row r="48" spans="1:9" x14ac:dyDescent="0.35">
      <c r="B48" s="2" t="s">
        <v>158</v>
      </c>
      <c r="C48">
        <v>1</v>
      </c>
    </row>
    <row r="49" spans="2:8" x14ac:dyDescent="0.35">
      <c r="B49" s="2" t="s">
        <v>159</v>
      </c>
      <c r="C49">
        <v>1</v>
      </c>
      <c r="E49">
        <v>1</v>
      </c>
      <c r="F49">
        <v>1</v>
      </c>
    </row>
    <row r="50" spans="2:8" x14ac:dyDescent="0.35">
      <c r="B50" s="2" t="s">
        <v>160</v>
      </c>
      <c r="C50">
        <v>1</v>
      </c>
      <c r="D50">
        <v>1</v>
      </c>
      <c r="F50">
        <v>1</v>
      </c>
      <c r="H50">
        <v>1</v>
      </c>
    </row>
    <row r="51" spans="2:8" x14ac:dyDescent="0.35">
      <c r="B51" s="2" t="s">
        <v>32</v>
      </c>
      <c r="D51">
        <v>1</v>
      </c>
      <c r="E51">
        <v>1</v>
      </c>
    </row>
    <row r="52" spans="2:8" x14ac:dyDescent="0.35">
      <c r="B52" s="2" t="s">
        <v>152</v>
      </c>
      <c r="D52">
        <v>1</v>
      </c>
      <c r="E52">
        <v>1</v>
      </c>
    </row>
    <row r="53" spans="2:8" x14ac:dyDescent="0.35">
      <c r="B53" s="2" t="s">
        <v>161</v>
      </c>
      <c r="D53">
        <v>1</v>
      </c>
    </row>
    <row r="54" spans="2:8" x14ac:dyDescent="0.35">
      <c r="B54" s="2" t="s">
        <v>162</v>
      </c>
      <c r="D54">
        <v>1</v>
      </c>
    </row>
    <row r="55" spans="2:8" x14ac:dyDescent="0.35">
      <c r="B55" s="2" t="s">
        <v>164</v>
      </c>
      <c r="D55">
        <v>1</v>
      </c>
      <c r="E55">
        <v>1</v>
      </c>
      <c r="F55">
        <v>1</v>
      </c>
      <c r="H55">
        <v>1</v>
      </c>
    </row>
    <row r="56" spans="2:8" x14ac:dyDescent="0.35">
      <c r="B56" s="2" t="s">
        <v>165</v>
      </c>
      <c r="D56">
        <v>1</v>
      </c>
    </row>
    <row r="57" spans="2:8" x14ac:dyDescent="0.35">
      <c r="B57" s="2" t="s">
        <v>166</v>
      </c>
      <c r="D57">
        <v>1</v>
      </c>
      <c r="E57">
        <v>1</v>
      </c>
    </row>
    <row r="58" spans="2:8" x14ac:dyDescent="0.35">
      <c r="B58" s="2" t="s">
        <v>167</v>
      </c>
      <c r="E58">
        <v>0</v>
      </c>
    </row>
    <row r="59" spans="2:8" x14ac:dyDescent="0.35">
      <c r="B59" s="2" t="s">
        <v>168</v>
      </c>
      <c r="E59">
        <v>1</v>
      </c>
    </row>
    <row r="60" spans="2:8" x14ac:dyDescent="0.35">
      <c r="B60" s="2" t="s">
        <v>169</v>
      </c>
      <c r="E60">
        <v>1</v>
      </c>
    </row>
    <row r="61" spans="2:8" x14ac:dyDescent="0.35">
      <c r="B61" s="2" t="s">
        <v>170</v>
      </c>
      <c r="E61">
        <v>1</v>
      </c>
    </row>
    <row r="62" spans="2:8" x14ac:dyDescent="0.35">
      <c r="B62" s="2" t="s">
        <v>171</v>
      </c>
      <c r="E62">
        <v>1</v>
      </c>
    </row>
    <row r="63" spans="2:8" x14ac:dyDescent="0.35">
      <c r="B63" s="2" t="s">
        <v>173</v>
      </c>
      <c r="F63">
        <v>0</v>
      </c>
    </row>
    <row r="64" spans="2:8" x14ac:dyDescent="0.35">
      <c r="B64" s="2" t="s">
        <v>174</v>
      </c>
      <c r="F64">
        <v>1</v>
      </c>
    </row>
    <row r="65" spans="2:8" x14ac:dyDescent="0.35">
      <c r="B65" s="2" t="s">
        <v>175</v>
      </c>
      <c r="F65">
        <v>1</v>
      </c>
    </row>
    <row r="66" spans="2:8" x14ac:dyDescent="0.35">
      <c r="B66" s="2" t="s">
        <v>176</v>
      </c>
      <c r="H66">
        <v>1</v>
      </c>
    </row>
    <row r="67" spans="2:8" x14ac:dyDescent="0.35">
      <c r="B67" s="2" t="s">
        <v>177</v>
      </c>
      <c r="H67">
        <v>1</v>
      </c>
    </row>
    <row r="68" spans="2:8" x14ac:dyDescent="0.35">
      <c r="B68" s="2" t="s">
        <v>178</v>
      </c>
      <c r="H68">
        <v>1</v>
      </c>
    </row>
  </sheetData>
  <conditionalFormatting sqref="C10:I70">
    <cfRule type="iconSet" priority="485">
      <iconSet iconSet="3Symbols">
        <cfvo type="percent" val="0"/>
        <cfvo type="percent" val="33"/>
        <cfvo type="percent" val="67"/>
      </iconSet>
    </cfRule>
  </conditionalFormatting>
  <conditionalFormatting sqref="F40:I62">
    <cfRule type="iconSet" priority="480">
      <iconSet iconSet="3Symbols">
        <cfvo type="percent" val="0"/>
        <cfvo type="num" val="1"/>
        <cfvo type="num" val="2"/>
      </iconSet>
    </cfRule>
  </conditionalFormatting>
  <conditionalFormatting sqref="J10:J19 J21:J46">
    <cfRule type="iconSet" priority="1">
      <iconSet>
        <cfvo type="percent" val="0"/>
        <cfvo type="num" val="1"/>
        <cfvo type="num" val="2"/>
      </iconSet>
    </cfRule>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C9ECE-8766-4384-84D6-3743FDB01EF1}">
  <dimension ref="A1:W90"/>
  <sheetViews>
    <sheetView zoomScale="83" zoomScaleNormal="83" workbookViewId="0">
      <selection activeCell="H7" sqref="H7"/>
    </sheetView>
  </sheetViews>
  <sheetFormatPr defaultRowHeight="14.5" x14ac:dyDescent="0.35"/>
  <cols>
    <col min="1" max="1" width="28" customWidth="1"/>
    <col min="2" max="2" width="35.453125" style="2" customWidth="1"/>
    <col min="3" max="8" width="15.453125" customWidth="1"/>
    <col min="10" max="10" width="12.54296875" customWidth="1"/>
    <col min="17" max="17" width="14.453125" customWidth="1"/>
  </cols>
  <sheetData>
    <row r="1" spans="1:23" x14ac:dyDescent="0.35">
      <c r="A1" s="1" t="s">
        <v>352</v>
      </c>
      <c r="C1">
        <f xml:space="preserve"> SUM(C3:C4) / (C3+ C4+ C7) * 100</f>
        <v>96.551724137931032</v>
      </c>
      <c r="D1">
        <f t="shared" ref="D1:H1" si="0" xml:space="preserve"> SUM(D3:D4) / (D3+ D4+ D7) * 100</f>
        <v>92</v>
      </c>
      <c r="E1">
        <f t="shared" si="0"/>
        <v>96.551724137931032</v>
      </c>
      <c r="F1">
        <f t="shared" si="0"/>
        <v>82.857142857142861</v>
      </c>
      <c r="G1">
        <f t="shared" si="0"/>
        <v>96.774193548387103</v>
      </c>
      <c r="H1">
        <f t="shared" si="0"/>
        <v>87.878787878787875</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93.333333333333329</v>
      </c>
      <c r="D2">
        <f t="shared" ref="D2:H2" si="1" xml:space="preserve"> SUM(D3:D4) / SUM(D3:D5) *100</f>
        <v>76.666666666666671</v>
      </c>
      <c r="E2">
        <f t="shared" si="1"/>
        <v>93.333333333333329</v>
      </c>
      <c r="F2">
        <f t="shared" si="1"/>
        <v>96.666666666666671</v>
      </c>
      <c r="G2">
        <f t="shared" si="1"/>
        <v>100</v>
      </c>
      <c r="H2">
        <f t="shared" si="1"/>
        <v>96.666666666666671</v>
      </c>
      <c r="J2" s="1" t="s">
        <v>13</v>
      </c>
      <c r="K2" s="10"/>
      <c r="L2" s="10"/>
      <c r="M2" s="10"/>
      <c r="Q2" s="1" t="s">
        <v>13</v>
      </c>
      <c r="R2" s="10"/>
      <c r="S2" s="10"/>
      <c r="T2" s="10"/>
    </row>
    <row r="3" spans="1:23" x14ac:dyDescent="0.35">
      <c r="A3" s="1" t="s">
        <v>242</v>
      </c>
      <c r="C3" s="2">
        <f>COUNTIF(C10:C39, 2)</f>
        <v>28</v>
      </c>
      <c r="D3" s="2">
        <f t="shared" ref="D3:H3" si="2">COUNTIF(D10:D39, 2)</f>
        <v>22</v>
      </c>
      <c r="E3" s="2">
        <f t="shared" si="2"/>
        <v>23</v>
      </c>
      <c r="F3" s="2">
        <f t="shared" si="2"/>
        <v>28</v>
      </c>
      <c r="G3" s="2">
        <f t="shared" si="2"/>
        <v>22</v>
      </c>
      <c r="H3" s="2">
        <f t="shared" si="2"/>
        <v>19</v>
      </c>
      <c r="J3" s="1" t="s">
        <v>14</v>
      </c>
      <c r="K3" s="10" cm="1">
        <f t="array" ref="K3">IFERROR(SUMPRODUCT((C10:C100&lt;&gt;"")*(D10:D100&lt;&gt;"")*(C10:C100=D10:D100))/SUMPRODUCT(--((C10:C100&lt;&gt;"")+(D10:D100&lt;&gt;"")&gt;0)),"")</f>
        <v>0.59090909090909094</v>
      </c>
      <c r="L3" s="10"/>
      <c r="M3" s="10"/>
      <c r="Q3" s="1" t="s">
        <v>14</v>
      </c>
      <c r="R3" s="10" cm="1">
        <f t="array" ref="R3">IFERROR(
   SUMPRODUCT((C10:C100&lt;&gt;"")*(D10:D100&lt;&gt;"")*
   ((C10:C100=D10:D100)+((C10:C100=1)*(D10:D100=2))+((C10:C100=2)*(D10:D100=1))))
   /
   SUMPRODUCT(--((C10:C100&lt;&gt;"")+(D10:D100&lt;&gt;"")&gt;0)),
"")</f>
        <v>0.61363636363636365</v>
      </c>
      <c r="S3" s="10"/>
      <c r="T3" s="10"/>
    </row>
    <row r="4" spans="1:23" x14ac:dyDescent="0.35">
      <c r="A4" s="1" t="s">
        <v>243</v>
      </c>
      <c r="C4">
        <f>COUNTIF(C10:C39, 1)</f>
        <v>0</v>
      </c>
      <c r="D4">
        <f t="shared" ref="D4:H4" si="3">COUNTIF(D10:D39, 1)</f>
        <v>1</v>
      </c>
      <c r="E4">
        <f t="shared" si="3"/>
        <v>5</v>
      </c>
      <c r="F4">
        <f t="shared" si="3"/>
        <v>1</v>
      </c>
      <c r="G4">
        <f t="shared" si="3"/>
        <v>8</v>
      </c>
      <c r="H4">
        <f t="shared" si="3"/>
        <v>10</v>
      </c>
      <c r="J4" s="1" t="s">
        <v>15</v>
      </c>
      <c r="K4" s="10" cm="1">
        <f t="array" ref="K4">IFERROR(SUMPRODUCT((C10:C100&lt;&gt;"")*(E10:E100&lt;&gt;"")*(C10:C100=E10:E100))/SUMPRODUCT(--((C10:C100&lt;&gt;"")+(E10:E100&lt;&gt;"")&gt;0)),"")</f>
        <v>0.70270270270270274</v>
      </c>
      <c r="L4" s="10" cm="1">
        <f t="array" ref="L4">IFERROR(SUMPRODUCT((E10:E100&lt;&gt;"")*(D10:D100&lt;&gt;"")*(E10:E100=D10:D100))/SUMPRODUCT(--((E10:E100&lt;&gt;"")+(D10:D100&lt;&gt;"")&gt;0)),"")</f>
        <v>0.6097560975609756</v>
      </c>
      <c r="M4" s="10"/>
      <c r="Q4" s="1" t="s">
        <v>15</v>
      </c>
      <c r="R4" s="10" cm="1">
        <f t="array" ref="R4">IFERROR(
   SUMPRODUCT((C10:C100&lt;&gt;"")*(E10:E100&lt;&gt;"")*
   ((C10:C100=E10:E100)+((C10:C100=1)*(E10:E100=2))+((C10:C100=2)*(E10:E100=1))))
   /
   SUMPRODUCT(--((C10:C100&lt;&gt;"")+(E10:E100&lt;&gt;"")&gt;0)),
"")</f>
        <v>0.81081081081081086</v>
      </c>
      <c r="S4" s="10" cm="1">
        <f t="array" ref="S4">IFERROR(
   SUMPRODUCT((E10:E100&lt;&gt;"")*(D10:D100&lt;&gt;"")*
   ((E10:E100=D10:D100)+((E10:E100=1)*(D10:D100=2))+((E10:E100=2)*(D10:D100=1))))
   /
   SUMPRODUCT(--((E10:E100&lt;&gt;"")+(D10:D100&lt;&gt;"")&gt;0)),
"")</f>
        <v>0.65853658536585369</v>
      </c>
      <c r="T4" s="10"/>
    </row>
    <row r="5" spans="1:23" x14ac:dyDescent="0.35">
      <c r="A5" s="1" t="s">
        <v>244</v>
      </c>
      <c r="C5">
        <f>COUNTIF(C10:C39, 0)</f>
        <v>2</v>
      </c>
      <c r="D5">
        <f t="shared" ref="D5:H5" si="4">COUNTIF(D10:D39, 0)</f>
        <v>7</v>
      </c>
      <c r="E5">
        <f t="shared" si="4"/>
        <v>2</v>
      </c>
      <c r="F5">
        <f t="shared" si="4"/>
        <v>1</v>
      </c>
      <c r="G5">
        <f t="shared" si="4"/>
        <v>0</v>
      </c>
      <c r="H5">
        <f t="shared" si="4"/>
        <v>1</v>
      </c>
      <c r="J5" s="1" t="s">
        <v>16</v>
      </c>
      <c r="K5" s="11" cm="1">
        <f t="array" ref="K5">IFERROR(SUMPRODUCT((C10:C100&lt;&gt;"")*(F10:F100&lt;&gt;"")*(C10:C100=F10:F100))/SUMPRODUCT(--((C10:C100&lt;&gt;"")+(F10:F100&lt;&gt;"")&gt;0)),"")</f>
        <v>0.65909090909090906</v>
      </c>
      <c r="L5" s="11" cm="1">
        <f t="array" ref="L5">IFERROR(SUMPRODUCT((F10:F100&lt;&gt;"")*(D10:D100&lt;&gt;"")*(F10:F100=D10:D100))/SUMPRODUCT(--((F10:F100&lt;&gt;"")+(D10:D100&lt;&gt;"")&gt;0)),"")</f>
        <v>0.46</v>
      </c>
      <c r="M5" s="11" cm="1">
        <f t="array" ref="M5">IFERROR(SUMPRODUCT((F10:F100&lt;&gt;"")*(E10:E100&lt;&gt;"")*(F10:F100=E10:E100))/SUMPRODUCT(--((F10:F100&lt;&gt;"")+(E10:E100&lt;&gt;"")&gt;0)),"")</f>
        <v>0.53488372093023251</v>
      </c>
      <c r="N5" s="10"/>
      <c r="O5" s="10"/>
      <c r="Q5" s="1" t="s">
        <v>16</v>
      </c>
      <c r="R5" s="11" cm="1">
        <f t="array" ref="R5">IFERROR(
   SUMPRODUCT((C10:C100&lt;&gt;"")*(F10:F100&lt;&gt;"")*
   ((C10:C100=F10:F100)+((C10:C100=1)*(F10:F100=2))+((C10:C100=2)*(F10:F100=1))))
   /
   SUMPRODUCT(--((C10:C100&lt;&gt;"")+(F10:F100&lt;&gt;"")&gt;0)),
"")</f>
        <v>0.68181818181818177</v>
      </c>
      <c r="S5" s="11" cm="1">
        <f t="array" ref="S5">IFERROR(
   SUMPRODUCT((F10:F100&lt;&gt;"")*(D10:D100&lt;&gt;"")*
   ((F10:F100=D10:D100)+((F10:F100=1)*(D10:D100=2))+((F10:F100=2)*(D10:D100=1))))
   /
   SUMPRODUCT(--((F10:F100&lt;&gt;"")+(D10:D100&lt;&gt;"")&gt;0)),
"")</f>
        <v>0.5</v>
      </c>
      <c r="T5" s="11" cm="1">
        <f t="array" ref="T5">IFERROR(
   SUMPRODUCT((F10:F100&lt;&gt;"")*(E10:E100&lt;&gt;"")*
   ((F10:F100=E10:E100)+((F10:F100=1)*(E10:E100=2))+((F10:F100=2)*(E10:E100=1))))
   /
   SUMPRODUCT(--((F10:F100&lt;&gt;"")+(E10:E100&lt;&gt;"")&gt;0)),
"")</f>
        <v>0.65116279069767447</v>
      </c>
      <c r="U5" s="10"/>
      <c r="V5" s="10"/>
    </row>
    <row r="6" spans="1:23" x14ac:dyDescent="0.35">
      <c r="A6" s="1" t="s">
        <v>245</v>
      </c>
      <c r="C6">
        <f>COUNTIF(C41:C76,0) + COUNTIF(C41:C76,1)</f>
        <v>5</v>
      </c>
      <c r="D6">
        <f t="shared" ref="D6:H6" si="5">COUNTIF(D41:D76,0) + COUNTIF(D41:D76,1)</f>
        <v>11</v>
      </c>
      <c r="E6">
        <f t="shared" si="5"/>
        <v>4</v>
      </c>
      <c r="F6">
        <f t="shared" si="5"/>
        <v>10</v>
      </c>
      <c r="G6">
        <f t="shared" si="5"/>
        <v>11</v>
      </c>
      <c r="H6">
        <f t="shared" si="5"/>
        <v>7</v>
      </c>
      <c r="J6" s="1" t="s">
        <v>17</v>
      </c>
      <c r="K6" s="11" cm="1">
        <f t="array" ref="K6">IFERROR(SUMPRODUCT((C10:C100&lt;&gt;"")*(G10:G100&lt;&gt;"")*(C10:C100=G10:G100))/SUMPRODUCT(--((C10:C100&lt;&gt;"")+(G10:G100&lt;&gt;"")&gt;0)),"")</f>
        <v>0.51111111111111107</v>
      </c>
      <c r="L6" s="11" cm="1">
        <f t="array" ref="L6">SUMPRODUCT((D10:D100&lt;&gt;0)*(G10:G100&lt;&gt;0)) / SUMPRODUCT(((D10:D100&lt;&gt;0)+(G10:G100&lt;&gt;0)&gt;0)*1)</f>
        <v>0.6</v>
      </c>
      <c r="M6" s="11" cm="1">
        <f t="array" ref="M6">IFERROR(SUMPRODUCT((G10:G100&lt;&gt;"")*(E10:E100&lt;&gt;"")*(G10:G100=E10:E100))/SUMPRODUCT(--((G10:G100&lt;&gt;"")+(E10:E100&lt;&gt;"")&gt;0)),"")</f>
        <v>0.56818181818181823</v>
      </c>
      <c r="N6" s="10" cm="1">
        <f t="array" ref="N6">IFERROR(SUMPRODUCT((G10:G100&lt;&gt;"")*(F10:F100&lt;&gt;"")*(G10:G100=F10:F100))/SUMPRODUCT(--((G10:G100&lt;&gt;"")+(F10:F100&lt;&gt;"")&gt;0)),"")</f>
        <v>0.44</v>
      </c>
      <c r="O6" s="10"/>
      <c r="Q6" s="1" t="s">
        <v>17</v>
      </c>
      <c r="R6" s="11" cm="1">
        <f t="array" ref="R6">IFERROR(
   SUMPRODUCT((C10:C100&lt;&gt;"")*(G10:G100&lt;&gt;"")*
   ((C10:C100=G10:G100)+((C10:C100=1)*(G10:G100=2))+((C10:C100=2)*(G10:G100=1))))
   /
   SUMPRODUCT(--((C10:C100&lt;&gt;"")+(G10:G100&lt;&gt;"")&gt;0)),
"")</f>
        <v>0.64444444444444449</v>
      </c>
      <c r="S6" s="11" cm="1">
        <f t="array" ref="S6">IFERROR(
   SUMPRODUCT((D10:D100&lt;&gt;"")*(G10:G100&lt;&gt;"")*
   ((D10:D100=G10:G100)+((D10:D100=1)*(G10:G100=2))+((D10:D100=2)*(G10:G100=1))))
   /
   SUMPRODUCT(--((D10:D100&lt;&gt;"")+(G10:G100&lt;&gt;"")&gt;0)),
"")</f>
        <v>0.5625</v>
      </c>
      <c r="T6" s="11" cm="1">
        <f t="array" ref="T6">IFERROR(
   SUMPRODUCT((G10:G100&lt;&gt;"")*(E10:E100&lt;&gt;"")*
   ((G10:G100=E10:E100)+((G10:G100=1)*(E10:E100=2))+((G10:G100=2)*(E10:E100=1))))
   /
   SUMPRODUCT(--((G10:G100&lt;&gt;"")+(E10:E100&lt;&gt;"")&gt;0)),
"")</f>
        <v>0.65909090909090906</v>
      </c>
      <c r="U6" s="10" cm="1">
        <f t="array" ref="U6">IFERROR(
   SUMPRODUCT((F10:F100&lt;&gt;"")*(G10:G100&lt;&gt;"")*
   ((F10:F100=G10:G100)+((F10:F100=1)*(G10:G100=2))+((F10:F100=2)*(G10:G100=1))))
   /
   SUMPRODUCT(--((F10:F100&lt;&gt;"")+(G10:G100&lt;&gt;"")&gt;0)),
"")</f>
        <v>0.6</v>
      </c>
      <c r="V6" s="10"/>
    </row>
    <row r="7" spans="1:23" x14ac:dyDescent="0.35">
      <c r="A7" s="1" t="s">
        <v>246</v>
      </c>
      <c r="C7">
        <f>COUNTIF(C41:C76,0)</f>
        <v>1</v>
      </c>
      <c r="D7">
        <f t="shared" ref="D7:H7" si="6">COUNTIF(D41:D76,0)</f>
        <v>2</v>
      </c>
      <c r="E7">
        <f t="shared" si="6"/>
        <v>1</v>
      </c>
      <c r="F7">
        <f t="shared" si="6"/>
        <v>6</v>
      </c>
      <c r="G7">
        <f t="shared" si="6"/>
        <v>1</v>
      </c>
      <c r="H7">
        <f t="shared" si="6"/>
        <v>4</v>
      </c>
      <c r="J7" s="1" t="s">
        <v>18</v>
      </c>
      <c r="K7" s="11" cm="1">
        <f t="array" ref="K7">IFERROR(SUMPRODUCT((C10:C100&lt;&gt;"")*(H10:H100&lt;&gt;"")*(C10:C100=H10:H100))/SUMPRODUCT(--((C10:C100&lt;&gt;"")+(H10:H100&lt;&gt;"")&gt;0)),"")</f>
        <v>0.45238095238095238</v>
      </c>
      <c r="L7" s="11" cm="1">
        <f t="array" ref="L7">IFERROR(SUMPRODUCT((H10:H100&lt;&gt;"")*(D10:D100&lt;&gt;"")*(H10:H100=D10:D100))/SUMPRODUCT(--((H10:H100&lt;&gt;"")+(D10:D100&lt;&gt;"")&gt;0)),"")</f>
        <v>0.41666666666666669</v>
      </c>
      <c r="M7" s="11" cm="1">
        <f t="array" ref="M7">IFERROR(SUMPRODUCT((H10:H100&lt;&gt;"")*(E10:E100&lt;&gt;"")*(H10:H100=E10:E100))/SUMPRODUCT(--((H10:H100&lt;&gt;"")+(E10:E100&lt;&gt;"")&gt;0)),"")</f>
        <v>0.51219512195121952</v>
      </c>
      <c r="N7" s="10" cm="1">
        <f t="array" ref="N7">IFERROR(SUMPRODUCT((F10:F100&lt;&gt;"")*(H10:H100&lt;&gt;"")*(F10:F100=H10:H100))/SUMPRODUCT(--((F10:F100&lt;&gt;"")+(H10:H100&lt;&gt;"")&gt;0)),"")</f>
        <v>0.41304347826086957</v>
      </c>
      <c r="O7" s="10" cm="1">
        <f t="array" ref="O7">IFERROR(SUMPRODUCT((G10:G100&lt;&gt;"")*(H10:H100&lt;&gt;"")*(G10:G100=H10:H100))/SUMPRODUCT(--((G10:G100&lt;&gt;"")+(H10:H100&lt;&gt;"")&gt;0)),"")</f>
        <v>0.5625</v>
      </c>
      <c r="Q7" s="1" t="s">
        <v>18</v>
      </c>
      <c r="R7" s="11" cm="1">
        <f t="array" ref="R7">IFERROR(
   SUMPRODUCT((C10:C100&lt;&gt;"")*(H10:H100&lt;&gt;"")*
   ((C10:C100=H10:H100)+((C10:C100=1)*(H10:H100=2))+((C10:C100=2)*(H10:H100=1))))
   /
   SUMPRODUCT(--((C10:C100&lt;&gt;"")+(H10:H100&lt;&gt;"")&gt;0)),
"")</f>
        <v>0.6428571428571429</v>
      </c>
      <c r="S7" s="11" cm="1">
        <f t="array" ref="S7">IFERROR(
   SUMPRODUCT((H10:H100&lt;&gt;"")*(D10:D100&lt;&gt;"")*
   ((H10:H100=D10:D100)+((H10:H100=1)*(D10:D100=2))+((H10:H100=2)*(D10:D100=1))))
   /
   SUMPRODUCT(--((H10:H100&lt;&gt;"")+(D10:D100&lt;&gt;"")&gt;0)),
"")</f>
        <v>0.45833333333333331</v>
      </c>
      <c r="T7" s="11" cm="1">
        <f t="array" ref="T7">IFERROR(
   SUMPRODUCT((H10:H100&lt;&gt;"")*(E10:E100&lt;&gt;"")*
   ((H10:H100=E10:E100)+((H10:H100=1)*(E10:E100=2))+((H10:H100=2)*(E10:E100=1))))
   /
   SUMPRODUCT(--((H10:H100&lt;&gt;"")+(E10:E100&lt;&gt;"")&gt;0)),
"")</f>
        <v>0.65853658536585369</v>
      </c>
      <c r="U7" s="10" cm="1">
        <f t="array" ref="U7">IFERROR(
   SUMPRODUCT((F10:F100&lt;&gt;"")*(H10:H100&lt;&gt;"")*
   ((F10:F100=H10:H100)+((F10:F100=1)*(H10:H100=2))+((F10:F100=2)*(H10:H100=1))))
   /
   SUMPRODUCT(--((F10:F100&lt;&gt;"")+(H10:H100&lt;&gt;"")&gt;0)),
"")</f>
        <v>0.63043478260869568</v>
      </c>
      <c r="V7" s="10" cm="1">
        <f t="array" ref="V7">IFERROR(
   SUMPRODUCT((H10:H100&lt;&gt;"")*(G10:G100&lt;&gt;"")*
   ((H10:H100=G10:G100)+((H10:H100=1)*(G10:G100=2))+((H10:H100=2)*(G10:G100=1))))
   /
   SUMPRODUCT(--((H10:H100&lt;&gt;"")+(G10:G100&lt;&gt;"")&gt;0)),
"")</f>
        <v>0.60416666666666663</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5</v>
      </c>
      <c r="B10" s="2" t="s">
        <v>179</v>
      </c>
      <c r="C10">
        <v>2</v>
      </c>
      <c r="D10">
        <v>2</v>
      </c>
      <c r="E10">
        <v>2</v>
      </c>
      <c r="F10">
        <v>2</v>
      </c>
      <c r="G10">
        <v>2</v>
      </c>
      <c r="H10">
        <v>2</v>
      </c>
    </row>
    <row r="11" spans="1:23" x14ac:dyDescent="0.35">
      <c r="A11" s="1"/>
      <c r="B11" s="2" t="s">
        <v>180</v>
      </c>
      <c r="C11">
        <v>2</v>
      </c>
      <c r="D11">
        <v>2</v>
      </c>
      <c r="E11">
        <v>2</v>
      </c>
      <c r="F11">
        <v>2</v>
      </c>
      <c r="G11">
        <v>2</v>
      </c>
      <c r="H11">
        <v>2</v>
      </c>
    </row>
    <row r="12" spans="1:23" x14ac:dyDescent="0.35">
      <c r="A12" s="1"/>
      <c r="B12" s="2" t="s">
        <v>181</v>
      </c>
      <c r="C12">
        <v>2</v>
      </c>
      <c r="D12">
        <v>2</v>
      </c>
      <c r="E12">
        <v>2</v>
      </c>
      <c r="F12">
        <v>2</v>
      </c>
      <c r="G12">
        <v>2</v>
      </c>
      <c r="H12">
        <v>2</v>
      </c>
    </row>
    <row r="13" spans="1:23" x14ac:dyDescent="0.35">
      <c r="A13" s="5" t="s">
        <v>125</v>
      </c>
      <c r="B13" s="2" t="s">
        <v>182</v>
      </c>
      <c r="C13">
        <v>2</v>
      </c>
      <c r="D13">
        <v>2</v>
      </c>
      <c r="E13">
        <v>2</v>
      </c>
      <c r="F13">
        <v>2</v>
      </c>
      <c r="G13">
        <v>2</v>
      </c>
      <c r="H13">
        <v>2</v>
      </c>
    </row>
    <row r="14" spans="1:23" x14ac:dyDescent="0.35">
      <c r="A14" s="5"/>
      <c r="B14" s="2" t="s">
        <v>183</v>
      </c>
      <c r="C14">
        <v>2</v>
      </c>
      <c r="D14">
        <v>2</v>
      </c>
      <c r="E14">
        <v>2</v>
      </c>
      <c r="F14">
        <v>2</v>
      </c>
      <c r="G14">
        <v>2</v>
      </c>
      <c r="H14">
        <v>2</v>
      </c>
    </row>
    <row r="15" spans="1:23" x14ac:dyDescent="0.35">
      <c r="A15" s="1" t="s">
        <v>6</v>
      </c>
      <c r="B15" s="2" t="s">
        <v>184</v>
      </c>
      <c r="C15">
        <v>2</v>
      </c>
      <c r="D15">
        <v>2</v>
      </c>
      <c r="E15">
        <v>2</v>
      </c>
      <c r="F15">
        <v>2</v>
      </c>
      <c r="G15">
        <v>2</v>
      </c>
      <c r="H15">
        <v>2</v>
      </c>
    </row>
    <row r="16" spans="1:23" x14ac:dyDescent="0.35">
      <c r="A16" s="1"/>
      <c r="B16" s="2" t="s">
        <v>185</v>
      </c>
      <c r="C16">
        <v>2</v>
      </c>
      <c r="D16">
        <v>2</v>
      </c>
      <c r="E16">
        <v>2</v>
      </c>
      <c r="F16">
        <v>2</v>
      </c>
      <c r="G16">
        <v>2</v>
      </c>
      <c r="H16">
        <v>2</v>
      </c>
    </row>
    <row r="17" spans="1:8" x14ac:dyDescent="0.35">
      <c r="A17" s="1"/>
      <c r="B17" s="2" t="s">
        <v>186</v>
      </c>
      <c r="C17">
        <v>2</v>
      </c>
      <c r="D17">
        <v>2</v>
      </c>
      <c r="E17">
        <v>2</v>
      </c>
      <c r="F17">
        <v>2</v>
      </c>
      <c r="G17">
        <v>2</v>
      </c>
      <c r="H17">
        <v>2</v>
      </c>
    </row>
    <row r="18" spans="1:8" ht="29" x14ac:dyDescent="0.35">
      <c r="A18" s="1"/>
      <c r="B18" s="2" t="s">
        <v>187</v>
      </c>
      <c r="C18">
        <v>2</v>
      </c>
      <c r="D18">
        <v>2</v>
      </c>
      <c r="E18">
        <v>2</v>
      </c>
      <c r="F18">
        <v>2</v>
      </c>
      <c r="G18">
        <v>2</v>
      </c>
      <c r="H18">
        <v>2</v>
      </c>
    </row>
    <row r="19" spans="1:8" x14ac:dyDescent="0.35">
      <c r="A19" s="1"/>
      <c r="B19" s="2" t="s">
        <v>188</v>
      </c>
      <c r="C19">
        <v>2</v>
      </c>
      <c r="D19">
        <v>2</v>
      </c>
      <c r="E19">
        <v>2</v>
      </c>
      <c r="F19">
        <v>2</v>
      </c>
      <c r="G19">
        <v>2</v>
      </c>
      <c r="H19">
        <v>2</v>
      </c>
    </row>
    <row r="20" spans="1:8" x14ac:dyDescent="0.35">
      <c r="A20" s="1"/>
      <c r="B20" s="2" t="s">
        <v>189</v>
      </c>
      <c r="C20">
        <v>2</v>
      </c>
      <c r="D20">
        <v>2</v>
      </c>
      <c r="E20">
        <v>2</v>
      </c>
      <c r="F20">
        <v>2</v>
      </c>
      <c r="G20">
        <v>2</v>
      </c>
      <c r="H20">
        <v>2</v>
      </c>
    </row>
    <row r="21" spans="1:8" x14ac:dyDescent="0.35">
      <c r="A21" s="1"/>
      <c r="B21" s="2" t="s">
        <v>190</v>
      </c>
      <c r="C21">
        <v>2</v>
      </c>
      <c r="D21">
        <v>2</v>
      </c>
      <c r="E21">
        <v>2</v>
      </c>
      <c r="F21">
        <v>2</v>
      </c>
      <c r="G21">
        <v>2</v>
      </c>
      <c r="H21">
        <v>2</v>
      </c>
    </row>
    <row r="22" spans="1:8" x14ac:dyDescent="0.35">
      <c r="B22" s="2" t="s">
        <v>191</v>
      </c>
      <c r="C22">
        <v>2</v>
      </c>
      <c r="D22">
        <v>2</v>
      </c>
      <c r="E22">
        <v>2</v>
      </c>
      <c r="F22">
        <v>2</v>
      </c>
      <c r="G22">
        <v>2</v>
      </c>
      <c r="H22">
        <v>2</v>
      </c>
    </row>
    <row r="23" spans="1:8" x14ac:dyDescent="0.35">
      <c r="B23" s="2" t="s">
        <v>192</v>
      </c>
      <c r="C23">
        <v>2</v>
      </c>
      <c r="D23">
        <v>2</v>
      </c>
      <c r="E23">
        <v>2</v>
      </c>
      <c r="F23">
        <v>2</v>
      </c>
      <c r="G23">
        <v>2</v>
      </c>
      <c r="H23">
        <v>2</v>
      </c>
    </row>
    <row r="24" spans="1:8" x14ac:dyDescent="0.35">
      <c r="A24" s="1"/>
      <c r="B24" s="2" t="s">
        <v>193</v>
      </c>
      <c r="C24">
        <v>2</v>
      </c>
      <c r="D24">
        <v>0</v>
      </c>
      <c r="E24">
        <v>2</v>
      </c>
      <c r="F24">
        <v>2</v>
      </c>
      <c r="G24">
        <v>1</v>
      </c>
      <c r="H24">
        <v>1</v>
      </c>
    </row>
    <row r="25" spans="1:8" x14ac:dyDescent="0.35">
      <c r="A25" s="1"/>
      <c r="B25" s="2" t="s">
        <v>194</v>
      </c>
      <c r="C25">
        <v>2</v>
      </c>
      <c r="D25">
        <v>1</v>
      </c>
      <c r="E25">
        <v>2</v>
      </c>
      <c r="F25">
        <v>2</v>
      </c>
      <c r="G25">
        <v>2</v>
      </c>
      <c r="H25">
        <v>1</v>
      </c>
    </row>
    <row r="26" spans="1:8" x14ac:dyDescent="0.35">
      <c r="A26" s="1"/>
      <c r="B26" s="2" t="s">
        <v>195</v>
      </c>
      <c r="C26">
        <v>2</v>
      </c>
      <c r="D26">
        <v>0</v>
      </c>
      <c r="E26">
        <v>1</v>
      </c>
      <c r="F26">
        <v>2</v>
      </c>
      <c r="G26">
        <v>1</v>
      </c>
      <c r="H26">
        <v>1</v>
      </c>
    </row>
    <row r="27" spans="1:8" x14ac:dyDescent="0.35">
      <c r="A27" s="1"/>
      <c r="B27" s="2" t="s">
        <v>196</v>
      </c>
      <c r="C27">
        <v>0</v>
      </c>
      <c r="D27">
        <v>0</v>
      </c>
      <c r="E27">
        <v>1</v>
      </c>
      <c r="F27">
        <v>0</v>
      </c>
      <c r="G27">
        <v>1</v>
      </c>
      <c r="H27">
        <v>1</v>
      </c>
    </row>
    <row r="28" spans="1:8" x14ac:dyDescent="0.35">
      <c r="A28" s="1"/>
      <c r="B28" s="2" t="s">
        <v>197</v>
      </c>
      <c r="C28">
        <v>2</v>
      </c>
      <c r="D28">
        <v>0</v>
      </c>
      <c r="E28">
        <v>1</v>
      </c>
      <c r="F28">
        <v>2</v>
      </c>
      <c r="G28">
        <v>1</v>
      </c>
      <c r="H28">
        <v>1</v>
      </c>
    </row>
    <row r="29" spans="1:8" x14ac:dyDescent="0.35">
      <c r="A29" s="1"/>
      <c r="B29" s="2" t="s">
        <v>198</v>
      </c>
      <c r="C29">
        <v>2</v>
      </c>
      <c r="D29">
        <v>0</v>
      </c>
      <c r="E29">
        <v>1</v>
      </c>
      <c r="F29">
        <v>2</v>
      </c>
      <c r="G29">
        <v>1</v>
      </c>
      <c r="H29">
        <v>1</v>
      </c>
    </row>
    <row r="30" spans="1:8" x14ac:dyDescent="0.35">
      <c r="A30" s="1"/>
      <c r="B30" s="2" t="s">
        <v>199</v>
      </c>
      <c r="C30">
        <v>0</v>
      </c>
      <c r="D30">
        <v>0</v>
      </c>
      <c r="E30">
        <v>0</v>
      </c>
      <c r="F30">
        <v>2</v>
      </c>
      <c r="G30">
        <v>1</v>
      </c>
      <c r="H30">
        <v>1</v>
      </c>
    </row>
    <row r="31" spans="1:8" x14ac:dyDescent="0.35">
      <c r="A31" s="1"/>
      <c r="B31" s="2" t="s">
        <v>200</v>
      </c>
      <c r="C31">
        <v>2</v>
      </c>
      <c r="D31">
        <v>0</v>
      </c>
      <c r="E31">
        <v>2</v>
      </c>
      <c r="F31">
        <v>2</v>
      </c>
      <c r="G31">
        <v>2</v>
      </c>
      <c r="H31">
        <v>1</v>
      </c>
    </row>
    <row r="32" spans="1:8" x14ac:dyDescent="0.35">
      <c r="A32" s="1"/>
      <c r="B32" s="2" t="s">
        <v>202</v>
      </c>
      <c r="C32">
        <v>2</v>
      </c>
      <c r="D32">
        <v>2</v>
      </c>
      <c r="E32">
        <v>2</v>
      </c>
      <c r="F32">
        <v>2</v>
      </c>
      <c r="G32">
        <v>2</v>
      </c>
      <c r="H32">
        <v>0</v>
      </c>
    </row>
    <row r="33" spans="1:9" x14ac:dyDescent="0.35">
      <c r="A33" s="1"/>
      <c r="B33" s="2" t="s">
        <v>203</v>
      </c>
      <c r="C33">
        <v>2</v>
      </c>
      <c r="D33">
        <v>2</v>
      </c>
      <c r="E33">
        <v>0</v>
      </c>
      <c r="F33">
        <v>2</v>
      </c>
      <c r="G33">
        <v>2</v>
      </c>
      <c r="H33">
        <v>2</v>
      </c>
    </row>
    <row r="34" spans="1:9" x14ac:dyDescent="0.35">
      <c r="B34" s="2" t="s">
        <v>204</v>
      </c>
      <c r="C34">
        <v>2</v>
      </c>
      <c r="D34">
        <v>2</v>
      </c>
      <c r="E34">
        <v>2</v>
      </c>
      <c r="F34">
        <v>2</v>
      </c>
      <c r="G34">
        <v>2</v>
      </c>
      <c r="H34">
        <v>2</v>
      </c>
    </row>
    <row r="35" spans="1:9" x14ac:dyDescent="0.35">
      <c r="A35" s="1" t="s">
        <v>19</v>
      </c>
      <c r="B35" s="2" t="s">
        <v>205</v>
      </c>
      <c r="C35">
        <v>2</v>
      </c>
      <c r="D35">
        <v>2</v>
      </c>
      <c r="E35">
        <v>2</v>
      </c>
      <c r="F35">
        <v>2</v>
      </c>
      <c r="G35">
        <v>2</v>
      </c>
      <c r="H35">
        <v>2</v>
      </c>
    </row>
    <row r="36" spans="1:9" x14ac:dyDescent="0.35">
      <c r="A36" s="1"/>
      <c r="B36" s="2" t="s">
        <v>206</v>
      </c>
      <c r="C36">
        <v>2</v>
      </c>
      <c r="D36">
        <v>2</v>
      </c>
      <c r="E36">
        <v>2</v>
      </c>
      <c r="F36">
        <v>1</v>
      </c>
      <c r="G36">
        <v>2</v>
      </c>
      <c r="H36">
        <v>2</v>
      </c>
    </row>
    <row r="37" spans="1:9" x14ac:dyDescent="0.35">
      <c r="A37" s="1" t="s">
        <v>20</v>
      </c>
      <c r="B37" s="2" t="s">
        <v>207</v>
      </c>
      <c r="C37">
        <v>2</v>
      </c>
      <c r="D37">
        <v>2</v>
      </c>
      <c r="E37">
        <v>2</v>
      </c>
      <c r="F37">
        <v>2</v>
      </c>
      <c r="G37">
        <v>1</v>
      </c>
      <c r="H37">
        <v>1</v>
      </c>
    </row>
    <row r="38" spans="1:9" x14ac:dyDescent="0.35">
      <c r="A38" s="1"/>
      <c r="B38" s="2" t="s">
        <v>208</v>
      </c>
      <c r="C38">
        <v>2</v>
      </c>
      <c r="D38">
        <v>2</v>
      </c>
      <c r="E38">
        <v>2</v>
      </c>
      <c r="F38">
        <v>2</v>
      </c>
      <c r="G38">
        <v>1</v>
      </c>
      <c r="H38">
        <v>1</v>
      </c>
    </row>
    <row r="39" spans="1:9" x14ac:dyDescent="0.35">
      <c r="A39" s="1"/>
      <c r="B39" s="2" t="s">
        <v>209</v>
      </c>
      <c r="C39">
        <v>2</v>
      </c>
      <c r="D39">
        <v>2</v>
      </c>
      <c r="E39">
        <v>1</v>
      </c>
      <c r="F39">
        <v>2</v>
      </c>
      <c r="G39">
        <v>2</v>
      </c>
      <c r="H39">
        <v>2</v>
      </c>
    </row>
    <row r="40" spans="1:9" s="3" customFormat="1" x14ac:dyDescent="0.35">
      <c r="F40" s="4"/>
      <c r="G40" s="4"/>
      <c r="H40" s="4"/>
      <c r="I40" s="4"/>
    </row>
    <row r="41" spans="1:9" ht="29" x14ac:dyDescent="0.35">
      <c r="A41" s="1" t="s">
        <v>21</v>
      </c>
      <c r="B41" s="2" t="s">
        <v>210</v>
      </c>
      <c r="C41">
        <v>0</v>
      </c>
      <c r="D41">
        <v>0</v>
      </c>
      <c r="E41">
        <v>0</v>
      </c>
    </row>
    <row r="42" spans="1:9" x14ac:dyDescent="0.35">
      <c r="B42" s="2" t="s">
        <v>201</v>
      </c>
      <c r="C42">
        <v>1</v>
      </c>
    </row>
    <row r="43" spans="1:9" ht="29" x14ac:dyDescent="0.35">
      <c r="B43" s="2" t="s">
        <v>211</v>
      </c>
      <c r="C43">
        <v>1</v>
      </c>
    </row>
    <row r="44" spans="1:9" x14ac:dyDescent="0.35">
      <c r="B44" s="2" t="s">
        <v>22</v>
      </c>
      <c r="C44">
        <v>1</v>
      </c>
      <c r="D44">
        <v>1</v>
      </c>
      <c r="E44">
        <v>1</v>
      </c>
      <c r="F44">
        <v>1</v>
      </c>
      <c r="G44">
        <v>1</v>
      </c>
    </row>
    <row r="45" spans="1:9" x14ac:dyDescent="0.35">
      <c r="B45" s="2" t="s">
        <v>212</v>
      </c>
      <c r="C45">
        <v>1</v>
      </c>
    </row>
    <row r="46" spans="1:9" ht="29" x14ac:dyDescent="0.35">
      <c r="B46" s="2" t="s">
        <v>213</v>
      </c>
      <c r="D46">
        <v>0</v>
      </c>
    </row>
    <row r="47" spans="1:9" x14ac:dyDescent="0.35">
      <c r="B47" s="2" t="s">
        <v>214</v>
      </c>
      <c r="D47">
        <v>1</v>
      </c>
      <c r="G47">
        <v>1</v>
      </c>
    </row>
    <row r="48" spans="1:9" x14ac:dyDescent="0.35">
      <c r="B48" s="2" t="s">
        <v>215</v>
      </c>
      <c r="D48">
        <v>1</v>
      </c>
    </row>
    <row r="49" spans="2:8" x14ac:dyDescent="0.35">
      <c r="B49" s="2" t="s">
        <v>216</v>
      </c>
      <c r="D49">
        <v>1</v>
      </c>
    </row>
    <row r="50" spans="2:8" x14ac:dyDescent="0.35">
      <c r="B50" s="2" t="s">
        <v>212</v>
      </c>
      <c r="D50">
        <v>1</v>
      </c>
      <c r="E50">
        <v>1</v>
      </c>
    </row>
    <row r="51" spans="2:8" x14ac:dyDescent="0.35">
      <c r="B51" s="2" t="s">
        <v>217</v>
      </c>
      <c r="D51">
        <v>1</v>
      </c>
      <c r="G51">
        <v>1</v>
      </c>
    </row>
    <row r="52" spans="2:8" x14ac:dyDescent="0.35">
      <c r="B52" s="2" t="s">
        <v>218</v>
      </c>
      <c r="D52">
        <v>1</v>
      </c>
      <c r="G52">
        <v>1</v>
      </c>
    </row>
    <row r="53" spans="2:8" x14ac:dyDescent="0.35">
      <c r="B53" s="2" t="s">
        <v>219</v>
      </c>
      <c r="D53">
        <v>1</v>
      </c>
    </row>
    <row r="54" spans="2:8" x14ac:dyDescent="0.35">
      <c r="B54" s="2" t="s">
        <v>220</v>
      </c>
      <c r="D54">
        <v>1</v>
      </c>
      <c r="E54">
        <v>1</v>
      </c>
    </row>
    <row r="55" spans="2:8" x14ac:dyDescent="0.35">
      <c r="B55" s="2" t="s">
        <v>227</v>
      </c>
      <c r="F55">
        <v>0</v>
      </c>
    </row>
    <row r="56" spans="2:8" x14ac:dyDescent="0.35">
      <c r="B56" s="2" t="s">
        <v>228</v>
      </c>
      <c r="F56">
        <v>0</v>
      </c>
    </row>
    <row r="57" spans="2:8" x14ac:dyDescent="0.35">
      <c r="B57" s="2" t="s">
        <v>221</v>
      </c>
      <c r="F57">
        <v>1</v>
      </c>
    </row>
    <row r="58" spans="2:8" ht="29" x14ac:dyDescent="0.35">
      <c r="B58" s="2" t="s">
        <v>229</v>
      </c>
      <c r="F58">
        <v>0</v>
      </c>
    </row>
    <row r="59" spans="2:8" x14ac:dyDescent="0.35">
      <c r="B59" s="2" t="s">
        <v>222</v>
      </c>
      <c r="F59">
        <v>1</v>
      </c>
    </row>
    <row r="60" spans="2:8" x14ac:dyDescent="0.35">
      <c r="B60" s="2" t="s">
        <v>223</v>
      </c>
      <c r="F60">
        <v>0</v>
      </c>
    </row>
    <row r="61" spans="2:8" x14ac:dyDescent="0.35">
      <c r="B61" s="2" t="s">
        <v>224</v>
      </c>
      <c r="F61">
        <v>1</v>
      </c>
    </row>
    <row r="62" spans="2:8" x14ac:dyDescent="0.35">
      <c r="B62" s="2" t="s">
        <v>225</v>
      </c>
      <c r="F62">
        <v>0</v>
      </c>
      <c r="H62">
        <v>0</v>
      </c>
    </row>
    <row r="63" spans="2:8" x14ac:dyDescent="0.35">
      <c r="B63" s="2" t="s">
        <v>226</v>
      </c>
      <c r="F63">
        <v>0</v>
      </c>
    </row>
    <row r="64" spans="2:8" x14ac:dyDescent="0.35">
      <c r="B64" s="2" t="s">
        <v>230</v>
      </c>
      <c r="G64">
        <v>1</v>
      </c>
    </row>
    <row r="65" spans="2:8" x14ac:dyDescent="0.35">
      <c r="B65" s="2" t="s">
        <v>231</v>
      </c>
      <c r="G65">
        <v>1</v>
      </c>
    </row>
    <row r="66" spans="2:8" x14ac:dyDescent="0.35">
      <c r="B66" s="2" t="s">
        <v>232</v>
      </c>
      <c r="G66">
        <v>1</v>
      </c>
    </row>
    <row r="67" spans="2:8" x14ac:dyDescent="0.35">
      <c r="B67" s="2" t="s">
        <v>233</v>
      </c>
      <c r="G67">
        <v>1</v>
      </c>
    </row>
    <row r="68" spans="2:8" x14ac:dyDescent="0.35">
      <c r="B68" s="2" t="s">
        <v>234</v>
      </c>
      <c r="G68">
        <v>1</v>
      </c>
    </row>
    <row r="69" spans="2:8" x14ac:dyDescent="0.35">
      <c r="B69" s="2" t="s">
        <v>235</v>
      </c>
      <c r="G69">
        <v>0</v>
      </c>
    </row>
    <row r="70" spans="2:8" x14ac:dyDescent="0.35">
      <c r="B70" s="2" t="s">
        <v>236</v>
      </c>
      <c r="G70">
        <v>1</v>
      </c>
    </row>
    <row r="71" spans="2:8" x14ac:dyDescent="0.35">
      <c r="B71" s="2" t="s">
        <v>241</v>
      </c>
      <c r="H71">
        <v>0</v>
      </c>
    </row>
    <row r="72" spans="2:8" x14ac:dyDescent="0.35">
      <c r="B72" s="2" t="s">
        <v>237</v>
      </c>
      <c r="H72">
        <v>1</v>
      </c>
    </row>
    <row r="73" spans="2:8" x14ac:dyDescent="0.35">
      <c r="B73" s="2" t="s">
        <v>238</v>
      </c>
      <c r="H73">
        <v>0</v>
      </c>
    </row>
    <row r="74" spans="2:8" x14ac:dyDescent="0.35">
      <c r="B74" s="2" t="s">
        <v>239</v>
      </c>
      <c r="H74">
        <v>1</v>
      </c>
    </row>
    <row r="75" spans="2:8" x14ac:dyDescent="0.35">
      <c r="B75" s="2" t="s">
        <v>216</v>
      </c>
      <c r="H75">
        <v>1</v>
      </c>
    </row>
    <row r="76" spans="2:8" x14ac:dyDescent="0.35">
      <c r="B76" s="2" t="s">
        <v>240</v>
      </c>
      <c r="H76">
        <v>0</v>
      </c>
    </row>
    <row r="77" spans="2:8" x14ac:dyDescent="0.35">
      <c r="B77" s="6"/>
    </row>
    <row r="83" spans="2:2" ht="15.5" x14ac:dyDescent="0.35">
      <c r="B83" s="8"/>
    </row>
    <row r="84" spans="2:2" ht="15.5" x14ac:dyDescent="0.35">
      <c r="B84" s="9"/>
    </row>
    <row r="85" spans="2:2" ht="15.5" x14ac:dyDescent="0.35">
      <c r="B85" s="8"/>
    </row>
    <row r="86" spans="2:2" ht="15.5" x14ac:dyDescent="0.35">
      <c r="B86" s="8"/>
    </row>
    <row r="87" spans="2:2" ht="15.5" x14ac:dyDescent="0.35">
      <c r="B87" s="9"/>
    </row>
    <row r="88" spans="2:2" ht="15.5" x14ac:dyDescent="0.35">
      <c r="B88" s="9"/>
    </row>
    <row r="89" spans="2:2" ht="15.5" x14ac:dyDescent="0.35">
      <c r="B89" s="8"/>
    </row>
    <row r="90" spans="2:2" x14ac:dyDescent="0.35">
      <c r="B90" s="6"/>
    </row>
  </sheetData>
  <conditionalFormatting sqref="C10:I61 C63:I69 C62:F62 H62:I62 G70 H71:H76">
    <cfRule type="iconSet" priority="491">
      <iconSet iconSet="3Symbols">
        <cfvo type="percent" val="0"/>
        <cfvo type="percent" val="33"/>
        <cfvo type="percent" val="67"/>
      </iconSet>
    </cfRule>
  </conditionalFormatting>
  <conditionalFormatting sqref="F42:I61 F63:I63 F62 H62:I62">
    <cfRule type="iconSet" priority="487">
      <iconSet iconSet="3Symbols">
        <cfvo type="percent" val="0"/>
        <cfvo type="num" val="1"/>
        <cfvo type="num" val="2"/>
      </iconSet>
    </cfRule>
  </conditionalFormatting>
  <conditionalFormatting sqref="J10:J19 J21:J46">
    <cfRule type="iconSet" priority="1">
      <iconSet>
        <cfvo type="percent" val="0"/>
        <cfvo type="num" val="1"/>
        <cfvo type="num" val="2"/>
      </iconSet>
    </cfRule>
  </conditionalFormatting>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6038-D35A-4CC8-9DF1-666E04B0A8FF}">
  <dimension ref="A1:W73"/>
  <sheetViews>
    <sheetView zoomScale="83" zoomScaleNormal="83" workbookViewId="0">
      <selection activeCell="H7" sqref="H7"/>
    </sheetView>
  </sheetViews>
  <sheetFormatPr defaultRowHeight="14.5" x14ac:dyDescent="0.35"/>
  <cols>
    <col min="1" max="1" width="28" customWidth="1"/>
    <col min="2" max="2" width="35.453125" style="2" customWidth="1"/>
    <col min="3" max="8" width="15.453125" customWidth="1"/>
    <col min="10" max="10" width="12.54296875" customWidth="1"/>
    <col min="17" max="17" width="14.54296875" customWidth="1"/>
  </cols>
  <sheetData>
    <row r="1" spans="1:23" x14ac:dyDescent="0.35">
      <c r="A1" s="1" t="s">
        <v>352</v>
      </c>
      <c r="C1">
        <f xml:space="preserve"> SUM(C3:C4) / (C3+ C4+ C7) * 100</f>
        <v>100</v>
      </c>
      <c r="D1">
        <f t="shared" ref="D1:H1" si="0" xml:space="preserve"> SUM(D3:D4) / (D3+ D4+ D7) * 100</f>
        <v>100</v>
      </c>
      <c r="E1">
        <f t="shared" si="0"/>
        <v>100</v>
      </c>
      <c r="F1">
        <f t="shared" si="0"/>
        <v>94.117647058823522</v>
      </c>
      <c r="G1">
        <f t="shared" si="0"/>
        <v>87.5</v>
      </c>
      <c r="H1">
        <f t="shared" si="0"/>
        <v>94.117647058823522</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100</v>
      </c>
      <c r="D2">
        <f t="shared" ref="D2:H2" si="1" xml:space="preserve"> SUM(D3:D4) / SUM(D3:D5) *100</f>
        <v>100</v>
      </c>
      <c r="E2">
        <f t="shared" si="1"/>
        <v>100</v>
      </c>
      <c r="F2">
        <f t="shared" si="1"/>
        <v>100</v>
      </c>
      <c r="G2">
        <f t="shared" si="1"/>
        <v>87.5</v>
      </c>
      <c r="H2">
        <f t="shared" si="1"/>
        <v>100</v>
      </c>
      <c r="J2" s="1" t="s">
        <v>13</v>
      </c>
      <c r="K2" s="10"/>
      <c r="L2" s="10"/>
      <c r="M2" s="10"/>
      <c r="Q2" s="1" t="s">
        <v>13</v>
      </c>
      <c r="R2" s="10"/>
      <c r="S2" s="10"/>
      <c r="T2" s="10"/>
    </row>
    <row r="3" spans="1:23" x14ac:dyDescent="0.35">
      <c r="A3" s="1" t="s">
        <v>242</v>
      </c>
      <c r="C3" s="2">
        <f t="shared" ref="C3:H3" si="2">COUNTIF(C10:C25, 2)</f>
        <v>16</v>
      </c>
      <c r="D3" s="2">
        <f t="shared" si="2"/>
        <v>16</v>
      </c>
      <c r="E3" s="2">
        <f t="shared" si="2"/>
        <v>16</v>
      </c>
      <c r="F3" s="2">
        <f t="shared" si="2"/>
        <v>14</v>
      </c>
      <c r="G3" s="2">
        <f t="shared" si="2"/>
        <v>13</v>
      </c>
      <c r="H3" s="2">
        <f t="shared" si="2"/>
        <v>15</v>
      </c>
      <c r="J3" s="1" t="s">
        <v>14</v>
      </c>
      <c r="K3" s="10" cm="1">
        <f t="array" ref="K3">IFERROR(SUMPRODUCT((C10:C100&lt;&gt;"")*(D10:D100&lt;&gt;"")*(C10:C100=D10:D100))/SUMPRODUCT(--((C10:C100&lt;&gt;"")+(D10:D100&lt;&gt;"")&gt;0)),"")</f>
        <v>0.90476190476190477</v>
      </c>
      <c r="L3" s="10"/>
      <c r="M3" s="10"/>
      <c r="Q3" s="1" t="s">
        <v>14</v>
      </c>
      <c r="R3" s="10" cm="1">
        <f t="array" ref="R3">IFERROR(
   SUMPRODUCT((C10:C100&lt;&gt;"")*(D10:D100&lt;&gt;"")*
   ((C10:C100=D10:D100)+((C10:C100=1)*(D10:D100=2))+((C10:C100=2)*(D10:D100=1))))
   /
   SUMPRODUCT(--((C10:C100&lt;&gt;"")+(D10:D100&lt;&gt;"")&gt;0)),
"")</f>
        <v>0.90476190476190477</v>
      </c>
      <c r="S3" s="10"/>
      <c r="T3" s="10"/>
    </row>
    <row r="4" spans="1:23" x14ac:dyDescent="0.35">
      <c r="A4" s="1" t="s">
        <v>243</v>
      </c>
      <c r="C4">
        <f t="shared" ref="C4:H4" si="3">COUNTIF(C10:C25, 1)</f>
        <v>0</v>
      </c>
      <c r="D4">
        <f t="shared" si="3"/>
        <v>0</v>
      </c>
      <c r="E4">
        <f t="shared" si="3"/>
        <v>0</v>
      </c>
      <c r="F4">
        <f t="shared" si="3"/>
        <v>2</v>
      </c>
      <c r="G4">
        <f t="shared" si="3"/>
        <v>1</v>
      </c>
      <c r="H4">
        <f t="shared" si="3"/>
        <v>1</v>
      </c>
      <c r="J4" s="1" t="s">
        <v>15</v>
      </c>
      <c r="K4" s="10" cm="1">
        <f t="array" ref="K4">IFERROR(SUMPRODUCT((C10:C100&lt;&gt;"")*(E10:E100&lt;&gt;"")*(C10:C100=E10:E100))/SUMPRODUCT(--((C10:C100&lt;&gt;"")+(E10:E100&lt;&gt;"")&gt;0)),"")</f>
        <v>0.70370370370370372</v>
      </c>
      <c r="L4" s="10" cm="1">
        <f t="array" ref="L4">IFERROR(SUMPRODUCT((E10:E100&lt;&gt;"")*(D10:D100&lt;&gt;"")*(E10:E100=D10:D100))/SUMPRODUCT(--((E10:E100&lt;&gt;"")+(D10:D100&lt;&gt;"")&gt;0)),"")</f>
        <v>0.77777777777777779</v>
      </c>
      <c r="M4" s="10"/>
      <c r="Q4" s="1" t="s">
        <v>15</v>
      </c>
      <c r="R4" s="10" cm="1">
        <f t="array" ref="R4">IFERROR(
   SUMPRODUCT((C10:C100&lt;&gt;"")*(E10:E100&lt;&gt;"")*
   ((C10:C100=E10:E100)+((C10:C100=1)*(E10:E100=2))+((C10:C100=2)*(E10:E100=1))))
   /
   SUMPRODUCT(--((C10:C100&lt;&gt;"")+(E10:E100&lt;&gt;"")&gt;0)),
"")</f>
        <v>0.70370370370370372</v>
      </c>
      <c r="S4" s="10" cm="1">
        <f t="array" ref="S4">IFERROR(
   SUMPRODUCT((E10:E100&lt;&gt;"")*(D10:D100&lt;&gt;"")*
   ((E10:E100=D10:D100)+((E10:E100=1)*(D10:D100=2))+((E10:E100=2)*(D10:D100=1))))
   /
   SUMPRODUCT(--((E10:E100&lt;&gt;"")+(D10:D100&lt;&gt;"")&gt;0)),
"")</f>
        <v>0.77777777777777779</v>
      </c>
      <c r="T4" s="10"/>
    </row>
    <row r="5" spans="1:23" x14ac:dyDescent="0.35">
      <c r="A5" s="1" t="s">
        <v>244</v>
      </c>
      <c r="C5">
        <f t="shared" ref="C5:H5" si="4">COUNTIF(C10:C25, 0)</f>
        <v>0</v>
      </c>
      <c r="D5">
        <f t="shared" si="4"/>
        <v>0</v>
      </c>
      <c r="E5">
        <f t="shared" si="4"/>
        <v>0</v>
      </c>
      <c r="F5">
        <f t="shared" si="4"/>
        <v>0</v>
      </c>
      <c r="G5">
        <f t="shared" si="4"/>
        <v>2</v>
      </c>
      <c r="H5">
        <f t="shared" si="4"/>
        <v>0</v>
      </c>
      <c r="J5" s="1" t="s">
        <v>16</v>
      </c>
      <c r="K5" s="11" cm="1">
        <f t="array" ref="K5">IFERROR(SUMPRODUCT((C10:C100&lt;&gt;"")*(F10:F100&lt;&gt;"")*(C10:C100=F10:F100))/SUMPRODUCT(--((C10:C100&lt;&gt;"")+(F10:F100&lt;&gt;"")&gt;0)),"")</f>
        <v>0.80952380952380953</v>
      </c>
      <c r="L5" s="11" cm="1">
        <f t="array" ref="L5">IFERROR(SUMPRODUCT((F10:F100&lt;&gt;"")*(D10:D100&lt;&gt;"")*(F10:F100=D10:D100))/SUMPRODUCT(--((F10:F100&lt;&gt;"")+(D10:D100&lt;&gt;"")&gt;0)),"")</f>
        <v>0.81818181818181823</v>
      </c>
      <c r="M5" s="11" cm="1">
        <f t="array" ref="M5">IFERROR(SUMPRODUCT((F10:F100&lt;&gt;"")*(E10:E100&lt;&gt;"")*(F10:F100=E10:E100))/SUMPRODUCT(--((F10:F100&lt;&gt;"")+(E10:E100&lt;&gt;"")&gt;0)),"")</f>
        <v>0.6428571428571429</v>
      </c>
      <c r="N5" s="10"/>
      <c r="O5" s="10"/>
      <c r="Q5" s="1" t="s">
        <v>16</v>
      </c>
      <c r="R5" s="11" cm="1">
        <f t="array" ref="R5">IFERROR(
   SUMPRODUCT((C10:C100&lt;&gt;"")*(F10:F100&lt;&gt;"")*
   ((C10:C100=F10:F100)+((C10:C100=1)*(F10:F100=2))+((C10:C100=2)*(F10:F100=1))))
   /
   SUMPRODUCT(--((C10:C100&lt;&gt;"")+(F10:F100&lt;&gt;"")&gt;0)),
"")</f>
        <v>0.90476190476190477</v>
      </c>
      <c r="S5" s="11" cm="1">
        <f t="array" ref="S5">IFERROR(
   SUMPRODUCT((F10:F100&lt;&gt;"")*(D10:D100&lt;&gt;"")*
   ((F10:F100=D10:D100)+((F10:F100=1)*(D10:D100=2))+((F10:F100=2)*(D10:D100=1))))
   /
   SUMPRODUCT(--((F10:F100&lt;&gt;"")+(D10:D100&lt;&gt;"")&gt;0)),
"")</f>
        <v>0.90909090909090906</v>
      </c>
      <c r="T5" s="11" cm="1">
        <f t="array" ref="T5">IFERROR(
   SUMPRODUCT((F10:F100&lt;&gt;"")*(E10:E100&lt;&gt;"")*
   ((F10:F100=E10:E100)+((F10:F100=1)*(E10:E100=2))+((F10:F100=2)*(E10:E100=1))))
   /
   SUMPRODUCT(--((F10:F100&lt;&gt;"")+(E10:E100&lt;&gt;"")&gt;0)),
"")</f>
        <v>0.7142857142857143</v>
      </c>
      <c r="U5" s="10"/>
      <c r="V5" s="10"/>
    </row>
    <row r="6" spans="1:23" x14ac:dyDescent="0.35">
      <c r="A6" s="1" t="s">
        <v>245</v>
      </c>
      <c r="C6">
        <f t="shared" ref="C6:H6" si="5">COUNTIF(C27:C59,0) + COUNTIF(C27:C59,1)</f>
        <v>3</v>
      </c>
      <c r="D6">
        <f t="shared" si="5"/>
        <v>5</v>
      </c>
      <c r="E6">
        <f t="shared" si="5"/>
        <v>11</v>
      </c>
      <c r="F6">
        <f t="shared" si="5"/>
        <v>5</v>
      </c>
      <c r="G6">
        <f t="shared" si="5"/>
        <v>7</v>
      </c>
      <c r="H6">
        <f t="shared" si="5"/>
        <v>6</v>
      </c>
      <c r="J6" s="1" t="s">
        <v>17</v>
      </c>
      <c r="K6" s="11" cm="1">
        <f t="array" ref="K6">IFERROR(SUMPRODUCT((C10:C100&lt;&gt;"")*(G10:G100&lt;&gt;"")*(C10:C100=G10:G100))/SUMPRODUCT(--((C10:C100&lt;&gt;"")+(G10:G100&lt;&gt;"")&gt;0)),"")</f>
        <v>0.69565217391304346</v>
      </c>
      <c r="L6" s="11" cm="1">
        <f t="array" ref="L6">SUMPRODUCT((D10:D100&lt;&gt;0)*(G10:G100&lt;&gt;0)) / SUMPRODUCT(((D10:D100&lt;&gt;0)+(G10:G100&lt;&gt;0)&gt;0)*1)</f>
        <v>0.81818181818181823</v>
      </c>
      <c r="M6" s="11" cm="1">
        <f t="array" ref="M6">IFERROR(SUMPRODUCT((G10:G100&lt;&gt;"")*(E10:E100&lt;&gt;"")*(G10:G100=E10:E100))/SUMPRODUCT(--((G10:G100&lt;&gt;"")+(E10:E100&lt;&gt;"")&gt;0)),"")</f>
        <v>0.62068965517241381</v>
      </c>
      <c r="N6" s="10" cm="1">
        <f t="array" ref="N6">IFERROR(SUMPRODUCT((G10:G100&lt;&gt;"")*(F10:F100&lt;&gt;"")*(G10:G100=F10:F100))/SUMPRODUCT(--((G10:G100&lt;&gt;"")+(F10:F100&lt;&gt;"")&gt;0)),"")</f>
        <v>0.70833333333333337</v>
      </c>
      <c r="O6" s="10"/>
      <c r="Q6" s="1" t="s">
        <v>17</v>
      </c>
      <c r="R6" s="11" cm="1">
        <f t="array" ref="R6">IFERROR(
   SUMPRODUCT((C10:C100&lt;&gt;"")*(G10:G100&lt;&gt;"")*
   ((C10:C100=G10:G100)+((C10:C100=1)*(G10:G100=2))+((C10:C100=2)*(G10:G100=1))))
   /
   SUMPRODUCT(--((C10:C100&lt;&gt;"")+(G10:G100&lt;&gt;"")&gt;0)),
"")</f>
        <v>0.73913043478260865</v>
      </c>
      <c r="S6" s="11" cm="1">
        <f t="array" ref="S6">IFERROR(
   SUMPRODUCT((D10:D100&lt;&gt;"")*(G10:G100&lt;&gt;"")*
   ((D10:D100=G10:G100)+((D10:D100=1)*(G10:G100=2))+((D10:D100=2)*(G10:G100=1))))
   /
   SUMPRODUCT(--((D10:D100&lt;&gt;"")+(G10:G100&lt;&gt;"")&gt;0)),
"")</f>
        <v>0.75</v>
      </c>
      <c r="T6" s="11" cm="1">
        <f t="array" ref="T6">IFERROR(
   SUMPRODUCT((G10:G100&lt;&gt;"")*(E10:E100&lt;&gt;"")*
   ((G10:G100=E10:E100)+((G10:G100=1)*(E10:E100=2))+((G10:G100=2)*(E10:E100=1))))
   /
   SUMPRODUCT(--((G10:G100&lt;&gt;"")+(E10:E100&lt;&gt;"")&gt;0)),
"")</f>
        <v>0.65517241379310343</v>
      </c>
      <c r="U6" s="10" cm="1">
        <f t="array" ref="U6">IFERROR(
   SUMPRODUCT((F10:F100&lt;&gt;"")*(G10:G100&lt;&gt;"")*
   ((F10:F100=G10:G100)+((F10:F100=1)*(G10:G100=2))+((F10:F100=2)*(G10:G100=1))))
   /
   SUMPRODUCT(--((F10:F100&lt;&gt;"")+(G10:G100&lt;&gt;"")&gt;0)),
"")</f>
        <v>0.75</v>
      </c>
      <c r="V6" s="10"/>
    </row>
    <row r="7" spans="1:23" x14ac:dyDescent="0.35">
      <c r="A7" s="1" t="s">
        <v>246</v>
      </c>
      <c r="C7">
        <f t="shared" ref="C7:H7" si="6">COUNTIF(C27:C59,0)</f>
        <v>0</v>
      </c>
      <c r="D7">
        <f t="shared" si="6"/>
        <v>0</v>
      </c>
      <c r="E7">
        <f t="shared" si="6"/>
        <v>0</v>
      </c>
      <c r="F7">
        <f t="shared" si="6"/>
        <v>1</v>
      </c>
      <c r="G7">
        <f t="shared" si="6"/>
        <v>2</v>
      </c>
      <c r="H7">
        <f t="shared" si="6"/>
        <v>1</v>
      </c>
      <c r="J7" s="1" t="s">
        <v>18</v>
      </c>
      <c r="K7" s="11" cm="1">
        <f t="array" ref="K7">IFERROR(SUMPRODUCT((C10:C100&lt;&gt;"")*(H10:H100&lt;&gt;"")*(C10:C100=H10:H100))/SUMPRODUCT(--((C10:C100&lt;&gt;"")+(H10:H100&lt;&gt;"")&gt;0)),"")</f>
        <v>0.81818181818181823</v>
      </c>
      <c r="L7" s="11" cm="1">
        <f t="array" ref="L7">IFERROR(SUMPRODUCT((H10:H100&lt;&gt;"")*(D10:D100&lt;&gt;"")*(H10:H100=D10:D100))/SUMPRODUCT(--((H10:H100&lt;&gt;"")+(D10:D100&lt;&gt;"")&gt;0)),"")</f>
        <v>0.82608695652173914</v>
      </c>
      <c r="M7" s="11" cm="1">
        <f t="array" ref="M7">IFERROR(SUMPRODUCT((H10:H100&lt;&gt;"")*(E10:E100&lt;&gt;"")*(H10:H100=E10:E100))/SUMPRODUCT(--((H10:H100&lt;&gt;"")+(E10:E100&lt;&gt;"")&gt;0)),"")</f>
        <v>0.7142857142857143</v>
      </c>
      <c r="N7" s="10" cm="1">
        <f t="array" ref="N7">IFERROR(SUMPRODUCT((F10:F100&lt;&gt;"")*(H10:H100&lt;&gt;"")*(F10:F100=H10:H100))/SUMPRODUCT(--((F10:F100&lt;&gt;"")+(H10:H100&lt;&gt;"")&gt;0)),"")</f>
        <v>0.75</v>
      </c>
      <c r="O7" s="10" cm="1">
        <f t="array" ref="O7">IFERROR(SUMPRODUCT((G10:G100&lt;&gt;"")*(H10:H100&lt;&gt;"")*(G10:G100=H10:H100))/SUMPRODUCT(--((G10:G100&lt;&gt;"")+(H10:H100&lt;&gt;"")&gt;0)),"")</f>
        <v>0.86956521739130432</v>
      </c>
      <c r="Q7" s="1" t="s">
        <v>18</v>
      </c>
      <c r="R7" s="11" cm="1">
        <f t="array" ref="R7">IFERROR(
   SUMPRODUCT((C10:C100&lt;&gt;"")*(H10:H100&lt;&gt;"")*
   ((C10:C100=H10:H100)+((C10:C100=1)*(H10:H100=2))+((C10:C100=2)*(H10:H100=1))))
   /
   SUMPRODUCT(--((C10:C100&lt;&gt;"")+(H10:H100&lt;&gt;"")&gt;0)),
"")</f>
        <v>0.86363636363636365</v>
      </c>
      <c r="S7" s="11" cm="1">
        <f t="array" ref="S7">IFERROR(
   SUMPRODUCT((H10:H100&lt;&gt;"")*(D10:D100&lt;&gt;"")*
   ((H10:H100=D10:D100)+((H10:H100=1)*(D10:D100=2))+((H10:H100=2)*(D10:D100=1))))
   /
   SUMPRODUCT(--((H10:H100&lt;&gt;"")+(D10:D100&lt;&gt;"")&gt;0)),
"")</f>
        <v>0.86956521739130432</v>
      </c>
      <c r="T7" s="11" cm="1">
        <f t="array" ref="T7">IFERROR(
   SUMPRODUCT((H10:H100&lt;&gt;"")*(E10:E100&lt;&gt;"")*
   ((H10:H100=E10:E100)+((H10:H100=1)*(E10:E100=2))+((H10:H100=2)*(E10:E100=1))))
   /
   SUMPRODUCT(--((H10:H100&lt;&gt;"")+(E10:E100&lt;&gt;"")&gt;0)),
"")</f>
        <v>0.75</v>
      </c>
      <c r="U7" s="10" cm="1">
        <f t="array" ref="U7">IFERROR(
   SUMPRODUCT((F10:F100&lt;&gt;"")*(H10:H100&lt;&gt;"")*
   ((F10:F100=H10:H100)+((F10:F100=1)*(H10:H100=2))+((F10:F100=2)*(H10:H100=1))))
   /
   SUMPRODUCT(--((F10:F100&lt;&gt;"")+(H10:H100&lt;&gt;"")&gt;0)),
"")</f>
        <v>0.79166666666666663</v>
      </c>
      <c r="V7" s="10" cm="1">
        <f t="array" ref="V7">IFERROR(
   SUMPRODUCT((H10:H100&lt;&gt;"")*(G10:G100&lt;&gt;"")*
   ((H10:H100=G10:G100)+((H10:H100=1)*(G10:G100=2))+((H10:H100=2)*(G10:G100=1))))
   /
   SUMPRODUCT(--((H10:H100&lt;&gt;"")+(G10:G100&lt;&gt;"")&gt;0)),
"")</f>
        <v>0.86956521739130432</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5</v>
      </c>
      <c r="B10" s="2" t="s">
        <v>268</v>
      </c>
      <c r="C10">
        <v>2</v>
      </c>
      <c r="D10">
        <v>2</v>
      </c>
      <c r="E10">
        <v>2</v>
      </c>
      <c r="F10">
        <v>2</v>
      </c>
      <c r="G10">
        <v>0</v>
      </c>
      <c r="H10">
        <v>2</v>
      </c>
    </row>
    <row r="11" spans="1:23" x14ac:dyDescent="0.35">
      <c r="A11" s="1"/>
      <c r="B11" s="2" t="s">
        <v>269</v>
      </c>
      <c r="C11">
        <v>2</v>
      </c>
      <c r="D11">
        <v>2</v>
      </c>
      <c r="E11">
        <v>2</v>
      </c>
      <c r="F11">
        <v>2</v>
      </c>
      <c r="G11">
        <v>0</v>
      </c>
      <c r="H11">
        <v>2</v>
      </c>
    </row>
    <row r="12" spans="1:23" x14ac:dyDescent="0.35">
      <c r="A12" s="5" t="s">
        <v>125</v>
      </c>
      <c r="B12" s="2" t="s">
        <v>270</v>
      </c>
      <c r="C12">
        <v>2</v>
      </c>
      <c r="D12">
        <v>2</v>
      </c>
      <c r="E12">
        <v>2</v>
      </c>
      <c r="F12">
        <v>2</v>
      </c>
      <c r="G12">
        <v>2</v>
      </c>
      <c r="H12">
        <v>2</v>
      </c>
    </row>
    <row r="13" spans="1:23" x14ac:dyDescent="0.35">
      <c r="B13" s="2" t="s">
        <v>271</v>
      </c>
      <c r="C13">
        <v>2</v>
      </c>
      <c r="D13">
        <v>2</v>
      </c>
      <c r="E13">
        <v>2</v>
      </c>
      <c r="F13">
        <v>2</v>
      </c>
      <c r="G13">
        <v>2</v>
      </c>
      <c r="H13">
        <v>2</v>
      </c>
    </row>
    <row r="14" spans="1:23" x14ac:dyDescent="0.35">
      <c r="A14" s="1" t="s">
        <v>6</v>
      </c>
      <c r="B14" s="2" t="s">
        <v>272</v>
      </c>
      <c r="C14">
        <v>2</v>
      </c>
      <c r="D14">
        <v>2</v>
      </c>
      <c r="E14">
        <v>2</v>
      </c>
      <c r="F14">
        <v>1</v>
      </c>
      <c r="G14">
        <v>2</v>
      </c>
      <c r="H14">
        <v>2</v>
      </c>
    </row>
    <row r="15" spans="1:23" x14ac:dyDescent="0.35">
      <c r="A15" s="1"/>
      <c r="B15" s="2" t="s">
        <v>273</v>
      </c>
      <c r="C15">
        <v>2</v>
      </c>
      <c r="D15">
        <v>2</v>
      </c>
      <c r="E15">
        <v>2</v>
      </c>
      <c r="F15">
        <v>2</v>
      </c>
      <c r="G15">
        <v>2</v>
      </c>
      <c r="H15">
        <v>2</v>
      </c>
    </row>
    <row r="16" spans="1:23" x14ac:dyDescent="0.35">
      <c r="A16" s="1"/>
      <c r="B16" s="2" t="s">
        <v>274</v>
      </c>
      <c r="C16">
        <v>2</v>
      </c>
      <c r="D16">
        <v>2</v>
      </c>
      <c r="E16">
        <v>2</v>
      </c>
      <c r="F16">
        <v>2</v>
      </c>
      <c r="G16">
        <v>2</v>
      </c>
      <c r="H16">
        <v>2</v>
      </c>
    </row>
    <row r="17" spans="1:9" x14ac:dyDescent="0.35">
      <c r="A17" s="1"/>
      <c r="B17" s="2" t="s">
        <v>275</v>
      </c>
      <c r="C17">
        <v>2</v>
      </c>
      <c r="D17">
        <v>2</v>
      </c>
      <c r="E17">
        <v>2</v>
      </c>
      <c r="F17">
        <v>2</v>
      </c>
      <c r="G17">
        <v>2</v>
      </c>
      <c r="H17">
        <v>2</v>
      </c>
    </row>
    <row r="18" spans="1:9" x14ac:dyDescent="0.35">
      <c r="A18" s="1"/>
      <c r="B18" s="2" t="s">
        <v>276</v>
      </c>
      <c r="C18">
        <v>2</v>
      </c>
      <c r="D18">
        <v>2</v>
      </c>
      <c r="E18">
        <v>2</v>
      </c>
      <c r="F18">
        <v>2</v>
      </c>
      <c r="G18">
        <v>2</v>
      </c>
      <c r="H18">
        <v>2</v>
      </c>
    </row>
    <row r="19" spans="1:9" x14ac:dyDescent="0.35">
      <c r="A19" s="1"/>
      <c r="B19" s="2" t="s">
        <v>277</v>
      </c>
      <c r="C19">
        <v>2</v>
      </c>
      <c r="D19">
        <v>2</v>
      </c>
      <c r="E19">
        <v>2</v>
      </c>
      <c r="F19">
        <v>2</v>
      </c>
      <c r="G19">
        <v>2</v>
      </c>
      <c r="H19">
        <v>2</v>
      </c>
    </row>
    <row r="20" spans="1:9" x14ac:dyDescent="0.35">
      <c r="A20" s="1"/>
      <c r="B20" s="2" t="s">
        <v>278</v>
      </c>
      <c r="C20">
        <v>2</v>
      </c>
      <c r="D20">
        <v>2</v>
      </c>
      <c r="E20">
        <v>2</v>
      </c>
      <c r="F20">
        <v>2</v>
      </c>
      <c r="G20">
        <v>2</v>
      </c>
      <c r="H20">
        <v>2</v>
      </c>
    </row>
    <row r="21" spans="1:9" x14ac:dyDescent="0.35">
      <c r="B21" s="2" t="s">
        <v>279</v>
      </c>
      <c r="C21">
        <v>2</v>
      </c>
      <c r="D21">
        <v>2</v>
      </c>
      <c r="E21">
        <v>2</v>
      </c>
      <c r="F21">
        <v>2</v>
      </c>
      <c r="G21">
        <v>2</v>
      </c>
      <c r="H21">
        <v>2</v>
      </c>
    </row>
    <row r="22" spans="1:9" x14ac:dyDescent="0.35">
      <c r="A22" s="1" t="s">
        <v>284</v>
      </c>
      <c r="B22" s="2" t="s">
        <v>280</v>
      </c>
      <c r="C22">
        <v>2</v>
      </c>
      <c r="D22">
        <v>2</v>
      </c>
      <c r="E22">
        <v>2</v>
      </c>
      <c r="F22">
        <v>2</v>
      </c>
      <c r="G22">
        <v>2</v>
      </c>
      <c r="H22">
        <v>2</v>
      </c>
    </row>
    <row r="23" spans="1:9" x14ac:dyDescent="0.35">
      <c r="A23" s="1"/>
      <c r="B23" s="2" t="s">
        <v>281</v>
      </c>
      <c r="C23">
        <v>2</v>
      </c>
      <c r="D23">
        <v>2</v>
      </c>
      <c r="E23">
        <v>2</v>
      </c>
      <c r="F23">
        <v>2</v>
      </c>
      <c r="G23">
        <v>2</v>
      </c>
      <c r="H23">
        <v>2</v>
      </c>
    </row>
    <row r="24" spans="1:9" x14ac:dyDescent="0.35">
      <c r="A24" s="1" t="s">
        <v>20</v>
      </c>
      <c r="B24" s="2" t="s">
        <v>282</v>
      </c>
      <c r="C24">
        <v>2</v>
      </c>
      <c r="D24">
        <v>2</v>
      </c>
      <c r="E24">
        <v>2</v>
      </c>
      <c r="F24">
        <v>2</v>
      </c>
      <c r="G24">
        <v>2</v>
      </c>
      <c r="H24">
        <v>2</v>
      </c>
    </row>
    <row r="25" spans="1:9" x14ac:dyDescent="0.35">
      <c r="A25" s="1"/>
      <c r="B25" s="2" t="s">
        <v>283</v>
      </c>
      <c r="C25">
        <v>2</v>
      </c>
      <c r="D25">
        <v>2</v>
      </c>
      <c r="E25">
        <v>2</v>
      </c>
      <c r="F25">
        <v>1</v>
      </c>
      <c r="G25">
        <v>1</v>
      </c>
      <c r="H25">
        <v>1</v>
      </c>
    </row>
    <row r="26" spans="1:9" s="3" customFormat="1" x14ac:dyDescent="0.35">
      <c r="F26" s="4"/>
      <c r="G26" s="4"/>
      <c r="H26" s="4"/>
      <c r="I26" s="4"/>
    </row>
    <row r="27" spans="1:9" x14ac:dyDescent="0.35">
      <c r="B27" s="2" t="s">
        <v>341</v>
      </c>
      <c r="C27">
        <v>1</v>
      </c>
      <c r="D27">
        <v>1</v>
      </c>
      <c r="E27">
        <v>1</v>
      </c>
      <c r="F27">
        <v>1</v>
      </c>
      <c r="G27">
        <v>1</v>
      </c>
      <c r="H27">
        <v>1</v>
      </c>
    </row>
    <row r="28" spans="1:9" x14ac:dyDescent="0.35">
      <c r="B28" s="2" t="s">
        <v>338</v>
      </c>
      <c r="C28">
        <v>1</v>
      </c>
      <c r="D28">
        <v>1</v>
      </c>
      <c r="E28">
        <v>1</v>
      </c>
      <c r="F28">
        <v>1</v>
      </c>
      <c r="G28">
        <v>1</v>
      </c>
      <c r="H28">
        <v>1</v>
      </c>
    </row>
    <row r="29" spans="1:9" x14ac:dyDescent="0.35">
      <c r="B29" s="2" t="s">
        <v>340</v>
      </c>
      <c r="C29">
        <v>1</v>
      </c>
      <c r="D29">
        <v>1</v>
      </c>
      <c r="E29">
        <v>1</v>
      </c>
      <c r="F29">
        <v>1</v>
      </c>
      <c r="G29">
        <v>1</v>
      </c>
      <c r="H29">
        <v>1</v>
      </c>
    </row>
    <row r="30" spans="1:9" x14ac:dyDescent="0.35">
      <c r="B30" s="2" t="s">
        <v>339</v>
      </c>
      <c r="D30">
        <v>1</v>
      </c>
      <c r="E30">
        <v>1</v>
      </c>
      <c r="F30">
        <v>1</v>
      </c>
    </row>
    <row r="31" spans="1:9" x14ac:dyDescent="0.35">
      <c r="B31" s="2" t="s">
        <v>342</v>
      </c>
      <c r="D31">
        <v>1</v>
      </c>
      <c r="E31">
        <v>1</v>
      </c>
      <c r="G31">
        <v>1</v>
      </c>
      <c r="H31">
        <v>1</v>
      </c>
    </row>
    <row r="32" spans="1:9" x14ac:dyDescent="0.35">
      <c r="B32" s="2" t="s">
        <v>343</v>
      </c>
      <c r="E32">
        <v>1</v>
      </c>
    </row>
    <row r="33" spans="2:8" x14ac:dyDescent="0.35">
      <c r="B33" s="2" t="s">
        <v>344</v>
      </c>
      <c r="E33">
        <v>1</v>
      </c>
    </row>
    <row r="34" spans="2:8" x14ac:dyDescent="0.35">
      <c r="B34" s="2" t="s">
        <v>345</v>
      </c>
      <c r="E34">
        <v>1</v>
      </c>
    </row>
    <row r="35" spans="2:8" x14ac:dyDescent="0.35">
      <c r="B35" s="2" t="s">
        <v>347</v>
      </c>
      <c r="E35">
        <v>1</v>
      </c>
    </row>
    <row r="36" spans="2:8" x14ac:dyDescent="0.35">
      <c r="B36" s="2" t="s">
        <v>346</v>
      </c>
      <c r="E36">
        <v>1</v>
      </c>
    </row>
    <row r="37" spans="2:8" x14ac:dyDescent="0.35">
      <c r="B37" s="2" t="s">
        <v>348</v>
      </c>
      <c r="E37">
        <v>1</v>
      </c>
      <c r="G37">
        <v>1</v>
      </c>
      <c r="H37">
        <v>1</v>
      </c>
    </row>
    <row r="38" spans="2:8" x14ac:dyDescent="0.35">
      <c r="B38" s="2" t="s">
        <v>349</v>
      </c>
      <c r="F38">
        <v>0</v>
      </c>
      <c r="G38">
        <v>0</v>
      </c>
    </row>
    <row r="39" spans="2:8" x14ac:dyDescent="0.35">
      <c r="B39" s="2" t="s">
        <v>350</v>
      </c>
      <c r="G39">
        <v>0</v>
      </c>
      <c r="H39">
        <v>0</v>
      </c>
    </row>
    <row r="60" spans="2:2" x14ac:dyDescent="0.35">
      <c r="B60" s="6"/>
    </row>
    <row r="66" spans="2:2" ht="15.5" x14ac:dyDescent="0.35">
      <c r="B66" s="8"/>
    </row>
    <row r="67" spans="2:2" ht="15.5" x14ac:dyDescent="0.35">
      <c r="B67" s="9"/>
    </row>
    <row r="68" spans="2:2" ht="15.5" x14ac:dyDescent="0.35">
      <c r="B68" s="8"/>
    </row>
    <row r="69" spans="2:2" ht="15.5" x14ac:dyDescent="0.35">
      <c r="B69" s="8"/>
    </row>
    <row r="70" spans="2:2" ht="15.5" x14ac:dyDescent="0.35">
      <c r="B70" s="9"/>
    </row>
    <row r="71" spans="2:2" ht="15.5" x14ac:dyDescent="0.35">
      <c r="B71" s="9"/>
    </row>
    <row r="72" spans="2:2" ht="15.5" x14ac:dyDescent="0.35">
      <c r="B72" s="8"/>
    </row>
    <row r="73" spans="2:2" x14ac:dyDescent="0.35">
      <c r="B73" s="6"/>
    </row>
  </sheetData>
  <conditionalFormatting sqref="C46:I52 C45:F45 H45:I45 G53 H54:H59 C10:I44">
    <cfRule type="iconSet" priority="3">
      <iconSet iconSet="3Symbols">
        <cfvo type="percent" val="0"/>
        <cfvo type="num" val="1"/>
        <cfvo type="num" val="2"/>
      </iconSet>
    </cfRule>
  </conditionalFormatting>
  <conditionalFormatting sqref="F46:I46 F27:I44 F45 H45:I45">
    <cfRule type="iconSet" priority="2">
      <iconSet iconSet="3Symbols">
        <cfvo type="percent" val="0"/>
        <cfvo type="num" val="1"/>
        <cfvo type="num" val="2"/>
      </iconSet>
    </cfRule>
  </conditionalFormatting>
  <conditionalFormatting sqref="J10:J19 J21:J46">
    <cfRule type="iconSet" priority="1">
      <iconSet>
        <cfvo type="percent" val="0"/>
        <cfvo type="num" val="1"/>
        <cfvo type="num" val="2"/>
      </iconSet>
    </cfRule>
  </conditionalFormatting>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A1F3-3459-4BD7-BA2F-7F2C26F91312}">
  <dimension ref="A1:W73"/>
  <sheetViews>
    <sheetView workbookViewId="0">
      <selection activeCell="E7" sqref="E7"/>
    </sheetView>
  </sheetViews>
  <sheetFormatPr defaultRowHeight="14.5" x14ac:dyDescent="0.35"/>
  <cols>
    <col min="1" max="1" width="28" customWidth="1"/>
    <col min="2" max="2" width="35.453125" style="2" customWidth="1"/>
    <col min="3" max="8" width="15.453125" customWidth="1"/>
    <col min="10" max="10" width="12.54296875" customWidth="1"/>
    <col min="17" max="17" width="14.453125" customWidth="1"/>
  </cols>
  <sheetData>
    <row r="1" spans="1:23" x14ac:dyDescent="0.35">
      <c r="A1" s="1" t="s">
        <v>352</v>
      </c>
      <c r="C1">
        <f xml:space="preserve"> SUM(C3:C4) / (C3+ C4+ C7) * 100</f>
        <v>84.210526315789465</v>
      </c>
      <c r="D1">
        <f t="shared" ref="D1:H1" si="0" xml:space="preserve"> SUM(D3:D4) / (D3+ D4+ D7) * 100</f>
        <v>88.888888888888886</v>
      </c>
      <c r="E1">
        <f t="shared" si="0"/>
        <v>80</v>
      </c>
      <c r="F1">
        <f t="shared" si="0"/>
        <v>83.333333333333343</v>
      </c>
      <c r="G1">
        <f t="shared" si="0"/>
        <v>80</v>
      </c>
      <c r="H1">
        <f t="shared" si="0"/>
        <v>88.235294117647058</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100</v>
      </c>
      <c r="D2">
        <f t="shared" ref="D2:H2" si="1" xml:space="preserve"> SUM(D3:D4) / SUM(D3:D5) *100</f>
        <v>100</v>
      </c>
      <c r="E2">
        <f t="shared" si="1"/>
        <v>100</v>
      </c>
      <c r="F2">
        <f t="shared" si="1"/>
        <v>93.75</v>
      </c>
      <c r="G2">
        <f t="shared" si="1"/>
        <v>100</v>
      </c>
      <c r="H2">
        <f t="shared" si="1"/>
        <v>93.75</v>
      </c>
      <c r="J2" s="1" t="s">
        <v>13</v>
      </c>
      <c r="K2" s="10"/>
      <c r="L2" s="10"/>
      <c r="M2" s="10"/>
      <c r="Q2" s="1" t="s">
        <v>13</v>
      </c>
      <c r="R2" s="10"/>
      <c r="S2" s="10"/>
      <c r="T2" s="10"/>
    </row>
    <row r="3" spans="1:23" x14ac:dyDescent="0.35">
      <c r="A3" s="1" t="s">
        <v>242</v>
      </c>
      <c r="C3" s="2">
        <f>COUNTIF(C10:C25, 2)</f>
        <v>15</v>
      </c>
      <c r="D3" s="2">
        <f t="shared" ref="D3:H3" si="2">COUNTIF(D10:D25, 2)</f>
        <v>16</v>
      </c>
      <c r="E3" s="2">
        <f t="shared" si="2"/>
        <v>15</v>
      </c>
      <c r="F3" s="2">
        <f t="shared" si="2"/>
        <v>14</v>
      </c>
      <c r="G3" s="2">
        <f t="shared" si="2"/>
        <v>14</v>
      </c>
      <c r="H3" s="2">
        <f t="shared" si="2"/>
        <v>15</v>
      </c>
      <c r="J3" s="1" t="s">
        <v>14</v>
      </c>
      <c r="K3" s="10" cm="1">
        <f t="array" ref="K3">IFERROR(SUMPRODUCT((C10:C100&lt;&gt;"")*(D10:D100&lt;&gt;"")*(C10:C100=D10:D100))/SUMPRODUCT(--((C10:C100&lt;&gt;"")+(D10:D100&lt;&gt;"")&gt;0)),"")</f>
        <v>0.89655172413793105</v>
      </c>
      <c r="L3" s="10"/>
      <c r="M3" s="10"/>
      <c r="Q3" s="1" t="s">
        <v>14</v>
      </c>
      <c r="R3" s="10" cm="1">
        <f t="array" ref="R3">IFERROR(
   SUMPRODUCT((C10:C100&lt;&gt;"")*(D10:D100&lt;&gt;"")*
   ((C10:C100=D10:D100)+((C10:C100=1)*(D10:D100=2))+((C10:C100=2)*(D10:D100=1))))
   /
   SUMPRODUCT(--((C10:C100&lt;&gt;"")+(D10:D100&lt;&gt;"")&gt;0)),
"")</f>
        <v>0.93103448275862066</v>
      </c>
      <c r="S3" s="10"/>
      <c r="T3" s="10"/>
    </row>
    <row r="4" spans="1:23" x14ac:dyDescent="0.35">
      <c r="A4" s="1" t="s">
        <v>243</v>
      </c>
      <c r="C4">
        <f>COUNTIF(C10:C25, 1)</f>
        <v>1</v>
      </c>
      <c r="D4">
        <f>COUNTIF(D10:D25, 1)</f>
        <v>0</v>
      </c>
      <c r="E4">
        <f t="shared" ref="E4:H4" si="3">COUNTIF(E10:E25, 1)</f>
        <v>1</v>
      </c>
      <c r="F4">
        <f t="shared" si="3"/>
        <v>1</v>
      </c>
      <c r="G4">
        <f t="shared" si="3"/>
        <v>2</v>
      </c>
      <c r="H4">
        <f t="shared" si="3"/>
        <v>0</v>
      </c>
      <c r="J4" s="1" t="s">
        <v>15</v>
      </c>
      <c r="K4" s="10" cm="1">
        <f t="array" ref="K4">IFERROR(SUMPRODUCT((C10:C100&lt;&gt;"")*(E10:E100&lt;&gt;"")*(C10:C100=E10:E100))/SUMPRODUCT(--((C10:C100&lt;&gt;"")+(E10:E100&lt;&gt;"")&gt;0)),"")</f>
        <v>0.84375</v>
      </c>
      <c r="L4" s="10" cm="1">
        <f t="array" ref="L4">IFERROR(SUMPRODUCT((E10:E100&lt;&gt;"")*(D10:D100&lt;&gt;"")*(E10:E100=D10:D100))/SUMPRODUCT(--((E10:E100&lt;&gt;"")+(D10:D100&lt;&gt;"")&gt;0)),"")</f>
        <v>0.87096774193548387</v>
      </c>
      <c r="M4" s="10"/>
      <c r="Q4" s="1" t="s">
        <v>15</v>
      </c>
      <c r="R4" s="10" cm="1">
        <f t="array" ref="R4">IFERROR(
   SUMPRODUCT((C10:C100&lt;&gt;"")*(E10:E100&lt;&gt;"")*
   ((C10:C100=E10:E100)+((C10:C100=1)*(E10:E100=2))+((C10:C100=2)*(E10:E100=1))))
   /
   SUMPRODUCT(--((C10:C100&lt;&gt;"")+(E10:E100&lt;&gt;"")&gt;0)),
"")</f>
        <v>0.84375</v>
      </c>
      <c r="S4" s="10" cm="1">
        <f t="array" ref="S4">IFERROR(
   SUMPRODUCT((E10:E100&lt;&gt;"")*(D10:D100&lt;&gt;"")*
   ((E10:E100=D10:D100)+((E10:E100=1)*(D10:D100=2))+((E10:E100=2)*(D10:D100=1))))
   /
   SUMPRODUCT(--((E10:E100&lt;&gt;"")+(D10:D100&lt;&gt;"")&gt;0)),
"")</f>
        <v>0.90322580645161288</v>
      </c>
      <c r="T4" s="10"/>
    </row>
    <row r="5" spans="1:23" x14ac:dyDescent="0.35">
      <c r="A5" s="1" t="s">
        <v>244</v>
      </c>
      <c r="C5">
        <f>COUNTIF(C10:C25, 0)</f>
        <v>0</v>
      </c>
      <c r="D5">
        <f t="shared" ref="D5:H5" si="4">COUNTIF(D10:D25, 0)</f>
        <v>0</v>
      </c>
      <c r="E5">
        <f t="shared" si="4"/>
        <v>0</v>
      </c>
      <c r="F5">
        <f t="shared" si="4"/>
        <v>1</v>
      </c>
      <c r="G5">
        <f t="shared" si="4"/>
        <v>0</v>
      </c>
      <c r="H5">
        <f t="shared" si="4"/>
        <v>1</v>
      </c>
      <c r="J5" s="1" t="s">
        <v>16</v>
      </c>
      <c r="K5" s="11" cm="1">
        <f t="array" ref="K5">IFERROR(SUMPRODUCT((C10:C100&lt;&gt;"")*(F10:F100&lt;&gt;"")*(C10:C100=F10:F100))/SUMPRODUCT(--((C10:C100&lt;&gt;"")+(F10:F100&lt;&gt;"")&gt;0)),"")</f>
        <v>0.75</v>
      </c>
      <c r="L5" s="11" cm="1">
        <f t="array" ref="L5">IFERROR(SUMPRODUCT((F10:F100&lt;&gt;"")*(D10:D100&lt;&gt;"")*(F10:F100=D10:D100))/SUMPRODUCT(--((F10:F100&lt;&gt;"")+(D10:D100&lt;&gt;"")&gt;0)),"")</f>
        <v>0.71875</v>
      </c>
      <c r="M5" s="11" cm="1">
        <f t="array" ref="M5">IFERROR(SUMPRODUCT((F10:F100&lt;&gt;"")*(E10:E100&lt;&gt;"")*(F10:F100=E10:E100))/SUMPRODUCT(--((F10:F100&lt;&gt;"")+(E10:E100&lt;&gt;"")&gt;0)),"")</f>
        <v>0.68571428571428572</v>
      </c>
      <c r="N5" s="10"/>
      <c r="O5" s="10"/>
      <c r="Q5" s="1" t="s">
        <v>16</v>
      </c>
      <c r="R5" s="11" cm="1">
        <f t="array" ref="R5">IFERROR(
   SUMPRODUCT((C10:C100&lt;&gt;"")*(F10:F100&lt;&gt;"")*
   ((C10:C100=F10:F100)+((C10:C100=1)*(F10:F100=2))+((C10:C100=2)*(F10:F100=1))))
   /
   SUMPRODUCT(--((C10:C100&lt;&gt;"")+(F10:F100&lt;&gt;"")&gt;0)),
"")</f>
        <v>0.75</v>
      </c>
      <c r="S5" s="11" cm="1">
        <f t="array" ref="S5">IFERROR(
   SUMPRODUCT((F10:F100&lt;&gt;"")*(D10:D100&lt;&gt;"")*
   ((F10:F100=D10:D100)+((F10:F100=1)*(D10:D100=2))+((F10:F100=2)*(D10:D100=1))))
   /
   SUMPRODUCT(--((F10:F100&lt;&gt;"")+(D10:D100&lt;&gt;"")&gt;0)),
"")</f>
        <v>0.75</v>
      </c>
      <c r="T5" s="11" cm="1">
        <f t="array" ref="T5">IFERROR(
   SUMPRODUCT((F10:F100&lt;&gt;"")*(E10:E100&lt;&gt;"")*
   ((F10:F100=E10:E100)+((F10:F100=1)*(E10:E100=2))+((F10:F100=2)*(E10:E100=1))))
   /
   SUMPRODUCT(--((F10:F100&lt;&gt;"")+(E10:E100&lt;&gt;"")&gt;0)),
"")</f>
        <v>0.68571428571428572</v>
      </c>
      <c r="U5" s="10"/>
      <c r="V5" s="10"/>
    </row>
    <row r="6" spans="1:23" x14ac:dyDescent="0.35">
      <c r="A6" s="1" t="s">
        <v>245</v>
      </c>
      <c r="C6">
        <f t="shared" ref="C6:H6" si="5">COUNTIF(C27:C59,0) + COUNTIF(C27:C59,1)</f>
        <v>12</v>
      </c>
      <c r="D6">
        <f t="shared" si="5"/>
        <v>12</v>
      </c>
      <c r="E6">
        <f t="shared" si="5"/>
        <v>15</v>
      </c>
      <c r="F6">
        <f t="shared" si="5"/>
        <v>13</v>
      </c>
      <c r="G6">
        <f t="shared" si="5"/>
        <v>13</v>
      </c>
      <c r="H6">
        <f t="shared" si="5"/>
        <v>8</v>
      </c>
      <c r="J6" s="1" t="s">
        <v>17</v>
      </c>
      <c r="K6" s="11" cm="1">
        <f t="array" ref="K6">IFERROR(SUMPRODUCT((C10:C100&lt;&gt;"")*(G10:G100&lt;&gt;"")*(C10:C100=G10:G100))/SUMPRODUCT(--((C10:C100&lt;&gt;"")+(G10:G100&lt;&gt;"")&gt;0)),"")</f>
        <v>0.75</v>
      </c>
      <c r="L6" s="11" cm="1">
        <f t="array" ref="L6">SUMPRODUCT((D10:D100&lt;&gt;0)*(G10:G100&lt;&gt;0)) / SUMPRODUCT(((D10:D100&lt;&gt;0)+(G10:G100&lt;&gt;0)&gt;0)*1)</f>
        <v>0.8214285714285714</v>
      </c>
      <c r="M6" s="11" cm="1">
        <f t="array" ref="M6">IFERROR(SUMPRODUCT((G10:G100&lt;&gt;"")*(E10:E100&lt;&gt;"")*(G10:G100=E10:E100))/SUMPRODUCT(--((G10:G100&lt;&gt;"")+(E10:E100&lt;&gt;"")&gt;0)),"")</f>
        <v>0.68571428571428572</v>
      </c>
      <c r="N6" s="10" cm="1">
        <f t="array" ref="N6">IFERROR(SUMPRODUCT((G10:G100&lt;&gt;"")*(F10:F100&lt;&gt;"")*(G10:G100=F10:F100))/SUMPRODUCT(--((G10:G100&lt;&gt;"")+(F10:F100&lt;&gt;"")&gt;0)),"")</f>
        <v>0.75</v>
      </c>
      <c r="O6" s="10"/>
      <c r="Q6" s="1" t="s">
        <v>17</v>
      </c>
      <c r="R6" s="11" cm="1">
        <f t="array" ref="R6">IFERROR(
   SUMPRODUCT((C10:C100&lt;&gt;"")*(G10:G100&lt;&gt;"")*
   ((C10:C100=G10:G100)+((C10:C100=1)*(G10:G100=2))+((C10:C100=2)*(G10:G100=1))))
   /
   SUMPRODUCT(--((C10:C100&lt;&gt;"")+(G10:G100&lt;&gt;"")&gt;0)),
"")</f>
        <v>0.78125</v>
      </c>
      <c r="S6" s="11" cm="1">
        <f t="array" ref="S6">IFERROR(
   SUMPRODUCT((D10:D100&lt;&gt;"")*(G10:G100&lt;&gt;"")*
   ((D10:D100=G10:G100)+((D10:D100=1)*(G10:G100=2))+((D10:D100=2)*(G10:G100=1))))
   /
   SUMPRODUCT(--((D10:D100&lt;&gt;"")+(G10:G100&lt;&gt;"")&gt;0)),
"")</f>
        <v>0.78125</v>
      </c>
      <c r="T6" s="11" cm="1">
        <f t="array" ref="T6">IFERROR(
   SUMPRODUCT((G10:G100&lt;&gt;"")*(E10:E100&lt;&gt;"")*
   ((G10:G100=E10:E100)+((G10:G100=1)*(E10:E100=2))+((G10:G100=2)*(E10:E100=1))))
   /
   SUMPRODUCT(--((G10:G100&lt;&gt;"")+(E10:E100&lt;&gt;"")&gt;0)),
"")</f>
        <v>0.7142857142857143</v>
      </c>
      <c r="U6" s="10" cm="1">
        <f t="array" ref="U6">IFERROR(
   SUMPRODUCT((F10:F100&lt;&gt;"")*(G10:G100&lt;&gt;"")*
   ((F10:F100=G10:G100)+((F10:F100=1)*(G10:G100=2))+((F10:F100=2)*(G10:G100=1))))
   /
   SUMPRODUCT(--((F10:F100&lt;&gt;"")+(G10:G100&lt;&gt;"")&gt;0)),
"")</f>
        <v>0.78125</v>
      </c>
      <c r="V6" s="10"/>
    </row>
    <row r="7" spans="1:23" x14ac:dyDescent="0.35">
      <c r="A7" s="1" t="s">
        <v>246</v>
      </c>
      <c r="C7">
        <f t="shared" ref="C7:H7" si="6">COUNTIF(C27:C59,0)</f>
        <v>3</v>
      </c>
      <c r="D7">
        <f t="shared" si="6"/>
        <v>2</v>
      </c>
      <c r="E7">
        <f t="shared" si="6"/>
        <v>4</v>
      </c>
      <c r="F7">
        <f t="shared" si="6"/>
        <v>3</v>
      </c>
      <c r="G7">
        <f t="shared" si="6"/>
        <v>4</v>
      </c>
      <c r="H7">
        <f t="shared" si="6"/>
        <v>2</v>
      </c>
      <c r="J7" s="1" t="s">
        <v>18</v>
      </c>
      <c r="K7" s="11" cm="1">
        <f t="array" ref="K7">IFERROR(SUMPRODUCT((C10:C100&lt;&gt;"")*(H10:H100&lt;&gt;"")*(C10:C100=H10:H100))/SUMPRODUCT(--((C10:C100&lt;&gt;"")+(H10:H100&lt;&gt;"")&gt;0)),"")</f>
        <v>0.66666666666666663</v>
      </c>
      <c r="L7" s="11" cm="1">
        <f t="array" ref="L7">IFERROR(SUMPRODUCT((H10:H100&lt;&gt;"")*(D10:D100&lt;&gt;"")*(H10:H100=D10:D100))/SUMPRODUCT(--((H10:H100&lt;&gt;"")+(D10:D100&lt;&gt;"")&gt;0)),"")</f>
        <v>0.7</v>
      </c>
      <c r="M7" s="11" cm="1">
        <f t="array" ref="M7">IFERROR(SUMPRODUCT((H10:H100&lt;&gt;"")*(E10:E100&lt;&gt;"")*(H10:H100=E10:E100))/SUMPRODUCT(--((H10:H100&lt;&gt;"")+(E10:E100&lt;&gt;"")&gt;0)),"")</f>
        <v>0.60606060606060608</v>
      </c>
      <c r="N7" s="10" cm="1">
        <f t="array" ref="N7">IFERROR(SUMPRODUCT((F10:F100&lt;&gt;"")*(H10:H100&lt;&gt;"")*(F10:F100=H10:H100))/SUMPRODUCT(--((F10:F100&lt;&gt;"")+(H10:H100&lt;&gt;"")&gt;0)),"")</f>
        <v>0.73333333333333328</v>
      </c>
      <c r="O7" s="10" cm="1">
        <f t="array" ref="O7">IFERROR(SUMPRODUCT((G10:G100&lt;&gt;"")*(H10:H100&lt;&gt;"")*(G10:G100=H10:H100))/SUMPRODUCT(--((G10:G100&lt;&gt;"")+(H10:H100&lt;&gt;"")&gt;0)),"")</f>
        <v>0.72413793103448276</v>
      </c>
      <c r="Q7" s="1" t="s">
        <v>18</v>
      </c>
      <c r="R7" s="11" cm="1">
        <f t="array" ref="R7">IFERROR(
   SUMPRODUCT((C10:C100&lt;&gt;"")*(H10:H100&lt;&gt;"")*
   ((C10:C100=H10:H100)+((C10:C100=1)*(H10:H100=2))+((C10:C100=2)*(H10:H100=1))))
   /
   SUMPRODUCT(--((C10:C100&lt;&gt;"")+(H10:H100&lt;&gt;"")&gt;0)),
"")</f>
        <v>0.7</v>
      </c>
      <c r="S7" s="11" cm="1">
        <f t="array" ref="S7">IFERROR(
   SUMPRODUCT((H10:H100&lt;&gt;"")*(D10:D100&lt;&gt;"")*
   ((H10:H100=D10:D100)+((H10:H100=1)*(D10:D100=2))+((H10:H100=2)*(D10:D100=1))))
   /
   SUMPRODUCT(--((H10:H100&lt;&gt;"")+(D10:D100&lt;&gt;"")&gt;0)),
"")</f>
        <v>0.7</v>
      </c>
      <c r="T7" s="11" cm="1">
        <f t="array" ref="T7">IFERROR(
   SUMPRODUCT((H10:H100&lt;&gt;"")*(E10:E100&lt;&gt;"")*
   ((H10:H100=E10:E100)+((H10:H100=1)*(E10:E100=2))+((H10:H100=2)*(E10:E100=1))))
   /
   SUMPRODUCT(--((H10:H100&lt;&gt;"")+(E10:E100&lt;&gt;"")&gt;0)),
"")</f>
        <v>0.63636363636363635</v>
      </c>
      <c r="U7" s="10" cm="1">
        <f t="array" ref="U7">IFERROR(
   SUMPRODUCT((F10:F100&lt;&gt;"")*(H10:H100&lt;&gt;"")*
   ((F10:F100=H10:H100)+((F10:F100=1)*(H10:H100=2))+((F10:F100=2)*(H10:H100=1))))
   /
   SUMPRODUCT(--((F10:F100&lt;&gt;"")+(H10:H100&lt;&gt;"")&gt;0)),
"")</f>
        <v>0.76666666666666672</v>
      </c>
      <c r="V7" s="10" cm="1">
        <f t="array" ref="V7">IFERROR(
   SUMPRODUCT((H10:H100&lt;&gt;"")*(G10:G100&lt;&gt;"")*
   ((H10:H100=G10:G100)+((H10:H100=1)*(G10:G100=2))+((H10:H100=2)*(G10:G100=1))))
   /
   SUMPRODUCT(--((H10:H100&lt;&gt;"")+(G10:G100&lt;&gt;"")&gt;0)),
"")</f>
        <v>0.7931034482758621</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5</v>
      </c>
      <c r="B10" s="2" t="s">
        <v>360</v>
      </c>
      <c r="C10">
        <v>2</v>
      </c>
      <c r="D10">
        <v>2</v>
      </c>
      <c r="E10">
        <v>2</v>
      </c>
      <c r="F10">
        <v>2</v>
      </c>
      <c r="G10">
        <v>2</v>
      </c>
      <c r="H10">
        <v>2</v>
      </c>
    </row>
    <row r="11" spans="1:23" x14ac:dyDescent="0.35">
      <c r="A11" s="1"/>
      <c r="B11" s="2" t="s">
        <v>361</v>
      </c>
      <c r="C11">
        <v>2</v>
      </c>
      <c r="D11">
        <v>2</v>
      </c>
      <c r="E11">
        <v>2</v>
      </c>
      <c r="F11">
        <v>2</v>
      </c>
      <c r="G11">
        <v>2</v>
      </c>
      <c r="H11">
        <v>2</v>
      </c>
    </row>
    <row r="12" spans="1:23" x14ac:dyDescent="0.35">
      <c r="A12" s="1"/>
      <c r="B12" s="2" t="s">
        <v>362</v>
      </c>
      <c r="C12">
        <v>2</v>
      </c>
      <c r="D12">
        <v>2</v>
      </c>
      <c r="E12">
        <v>2</v>
      </c>
      <c r="F12">
        <v>2</v>
      </c>
      <c r="G12">
        <v>2</v>
      </c>
      <c r="H12">
        <v>2</v>
      </c>
    </row>
    <row r="13" spans="1:23" x14ac:dyDescent="0.35">
      <c r="A13" s="1" t="s">
        <v>6</v>
      </c>
      <c r="B13" s="2" t="s">
        <v>357</v>
      </c>
      <c r="C13">
        <v>2</v>
      </c>
      <c r="D13">
        <v>2</v>
      </c>
      <c r="E13">
        <v>2</v>
      </c>
      <c r="F13">
        <v>0</v>
      </c>
      <c r="G13">
        <v>2</v>
      </c>
      <c r="H13">
        <v>0</v>
      </c>
    </row>
    <row r="14" spans="1:23" x14ac:dyDescent="0.35">
      <c r="A14" s="1"/>
      <c r="B14" s="2" t="s">
        <v>359</v>
      </c>
      <c r="C14">
        <v>2</v>
      </c>
      <c r="D14">
        <v>2</v>
      </c>
      <c r="E14">
        <v>2</v>
      </c>
      <c r="F14">
        <v>2</v>
      </c>
      <c r="G14">
        <v>2</v>
      </c>
      <c r="H14">
        <v>2</v>
      </c>
    </row>
    <row r="15" spans="1:23" x14ac:dyDescent="0.35">
      <c r="A15" s="1"/>
      <c r="B15" s="2" t="s">
        <v>358</v>
      </c>
      <c r="C15">
        <v>2</v>
      </c>
      <c r="D15">
        <v>2</v>
      </c>
      <c r="E15">
        <v>2</v>
      </c>
      <c r="F15">
        <v>2</v>
      </c>
      <c r="G15">
        <v>2</v>
      </c>
      <c r="H15">
        <v>2</v>
      </c>
    </row>
    <row r="16" spans="1:23" x14ac:dyDescent="0.35">
      <c r="A16" s="1"/>
      <c r="B16" s="2" t="s">
        <v>363</v>
      </c>
      <c r="C16">
        <v>2</v>
      </c>
      <c r="D16">
        <v>2</v>
      </c>
      <c r="E16">
        <v>2</v>
      </c>
      <c r="F16">
        <v>2</v>
      </c>
      <c r="G16">
        <v>2</v>
      </c>
      <c r="H16">
        <v>2</v>
      </c>
    </row>
    <row r="17" spans="1:9" x14ac:dyDescent="0.35">
      <c r="A17" s="1"/>
      <c r="B17" s="2" t="s">
        <v>364</v>
      </c>
      <c r="C17">
        <v>2</v>
      </c>
      <c r="D17">
        <v>2</v>
      </c>
      <c r="E17">
        <v>2</v>
      </c>
      <c r="F17">
        <v>2</v>
      </c>
      <c r="G17">
        <v>2</v>
      </c>
      <c r="H17">
        <v>2</v>
      </c>
    </row>
    <row r="18" spans="1:9" x14ac:dyDescent="0.35">
      <c r="A18" s="1"/>
      <c r="B18" s="2" t="s">
        <v>366</v>
      </c>
      <c r="C18">
        <v>2</v>
      </c>
      <c r="D18">
        <v>2</v>
      </c>
      <c r="E18">
        <v>2</v>
      </c>
      <c r="F18">
        <v>2</v>
      </c>
      <c r="G18">
        <v>2</v>
      </c>
      <c r="H18">
        <v>2</v>
      </c>
    </row>
    <row r="19" spans="1:9" x14ac:dyDescent="0.35">
      <c r="A19" s="1"/>
      <c r="B19" s="2" t="s">
        <v>365</v>
      </c>
      <c r="C19">
        <v>2</v>
      </c>
      <c r="D19">
        <v>2</v>
      </c>
      <c r="E19">
        <v>2</v>
      </c>
      <c r="F19">
        <v>2</v>
      </c>
      <c r="G19">
        <v>2</v>
      </c>
      <c r="H19">
        <v>2</v>
      </c>
    </row>
    <row r="20" spans="1:9" x14ac:dyDescent="0.35">
      <c r="A20" s="1"/>
      <c r="B20" s="2" t="s">
        <v>369</v>
      </c>
      <c r="C20">
        <v>2</v>
      </c>
      <c r="D20">
        <v>2</v>
      </c>
      <c r="E20">
        <v>2</v>
      </c>
      <c r="F20">
        <v>2</v>
      </c>
      <c r="G20">
        <v>2</v>
      </c>
      <c r="H20">
        <v>2</v>
      </c>
    </row>
    <row r="21" spans="1:9" x14ac:dyDescent="0.35">
      <c r="B21" s="2" t="s">
        <v>368</v>
      </c>
      <c r="C21">
        <v>2</v>
      </c>
      <c r="D21">
        <v>2</v>
      </c>
      <c r="E21">
        <v>2</v>
      </c>
      <c r="F21">
        <v>2</v>
      </c>
      <c r="G21">
        <v>2</v>
      </c>
      <c r="H21">
        <v>2</v>
      </c>
    </row>
    <row r="22" spans="1:9" x14ac:dyDescent="0.35">
      <c r="B22" s="2" t="s">
        <v>370</v>
      </c>
      <c r="C22">
        <v>2</v>
      </c>
      <c r="D22">
        <v>2</v>
      </c>
      <c r="E22">
        <v>2</v>
      </c>
      <c r="F22">
        <v>2</v>
      </c>
      <c r="G22">
        <v>2</v>
      </c>
      <c r="H22">
        <v>2</v>
      </c>
    </row>
    <row r="23" spans="1:9" x14ac:dyDescent="0.35">
      <c r="A23" s="1" t="s">
        <v>284</v>
      </c>
      <c r="B23" s="2" t="s">
        <v>367</v>
      </c>
      <c r="C23">
        <v>1</v>
      </c>
      <c r="D23">
        <v>2</v>
      </c>
      <c r="E23">
        <v>1</v>
      </c>
      <c r="F23">
        <v>1</v>
      </c>
      <c r="G23">
        <v>1</v>
      </c>
      <c r="H23">
        <v>2</v>
      </c>
    </row>
    <row r="24" spans="1:9" x14ac:dyDescent="0.35">
      <c r="A24" s="1" t="s">
        <v>395</v>
      </c>
      <c r="B24" s="2" t="s">
        <v>392</v>
      </c>
      <c r="C24">
        <v>2</v>
      </c>
      <c r="D24">
        <v>2</v>
      </c>
      <c r="E24">
        <v>2</v>
      </c>
      <c r="F24">
        <v>2</v>
      </c>
      <c r="G24">
        <v>2</v>
      </c>
      <c r="H24">
        <v>2</v>
      </c>
    </row>
    <row r="25" spans="1:9" x14ac:dyDescent="0.35">
      <c r="A25" s="1"/>
      <c r="B25" s="2" t="s">
        <v>393</v>
      </c>
      <c r="C25">
        <v>2</v>
      </c>
      <c r="D25">
        <v>2</v>
      </c>
      <c r="E25">
        <v>2</v>
      </c>
      <c r="F25">
        <v>2</v>
      </c>
      <c r="G25">
        <v>1</v>
      </c>
      <c r="H25">
        <v>2</v>
      </c>
    </row>
    <row r="26" spans="1:9" s="3" customFormat="1" x14ac:dyDescent="0.35">
      <c r="F26" s="4"/>
      <c r="G26" s="4"/>
      <c r="H26" s="4"/>
      <c r="I26" s="4"/>
    </row>
    <row r="27" spans="1:9" x14ac:dyDescent="0.35">
      <c r="B27" s="2" t="s">
        <v>371</v>
      </c>
      <c r="C27">
        <v>0</v>
      </c>
      <c r="D27">
        <v>0</v>
      </c>
      <c r="E27">
        <v>0</v>
      </c>
      <c r="F27">
        <v>0</v>
      </c>
      <c r="G27">
        <v>0</v>
      </c>
      <c r="H27">
        <v>0</v>
      </c>
    </row>
    <row r="28" spans="1:9" ht="29" x14ac:dyDescent="0.35">
      <c r="B28" s="2" t="s">
        <v>372</v>
      </c>
      <c r="C28">
        <v>0</v>
      </c>
      <c r="D28">
        <v>0</v>
      </c>
      <c r="E28">
        <v>0</v>
      </c>
      <c r="F28">
        <v>0</v>
      </c>
      <c r="G28">
        <v>0</v>
      </c>
      <c r="H28">
        <v>0</v>
      </c>
    </row>
    <row r="29" spans="1:9" x14ac:dyDescent="0.35">
      <c r="B29" s="2" t="s">
        <v>375</v>
      </c>
      <c r="C29">
        <v>1</v>
      </c>
      <c r="D29">
        <v>1</v>
      </c>
      <c r="E29">
        <v>1</v>
      </c>
      <c r="F29">
        <v>1</v>
      </c>
      <c r="G29">
        <v>1</v>
      </c>
      <c r="H29">
        <v>1</v>
      </c>
    </row>
    <row r="30" spans="1:9" x14ac:dyDescent="0.35">
      <c r="B30" s="2" t="s">
        <v>376</v>
      </c>
      <c r="C30">
        <v>1</v>
      </c>
      <c r="D30">
        <v>1</v>
      </c>
      <c r="E30">
        <v>1</v>
      </c>
      <c r="F30">
        <v>1</v>
      </c>
      <c r="G30">
        <v>1</v>
      </c>
      <c r="H30">
        <v>1</v>
      </c>
    </row>
    <row r="31" spans="1:9" x14ac:dyDescent="0.35">
      <c r="B31" s="2" t="s">
        <v>377</v>
      </c>
      <c r="C31">
        <v>1</v>
      </c>
      <c r="D31">
        <v>1</v>
      </c>
      <c r="E31">
        <v>1</v>
      </c>
      <c r="F31">
        <v>1</v>
      </c>
      <c r="G31">
        <v>1</v>
      </c>
    </row>
    <row r="32" spans="1:9" x14ac:dyDescent="0.35">
      <c r="B32" s="2" t="s">
        <v>389</v>
      </c>
      <c r="C32">
        <v>0</v>
      </c>
    </row>
    <row r="33" spans="2:8" x14ac:dyDescent="0.35">
      <c r="B33" s="2" t="s">
        <v>374</v>
      </c>
      <c r="C33">
        <v>1</v>
      </c>
      <c r="D33">
        <v>1</v>
      </c>
      <c r="E33">
        <v>1</v>
      </c>
      <c r="F33">
        <v>1</v>
      </c>
      <c r="G33">
        <v>1</v>
      </c>
    </row>
    <row r="34" spans="2:8" ht="29" x14ac:dyDescent="0.35">
      <c r="B34" s="2" t="s">
        <v>379</v>
      </c>
      <c r="C34">
        <v>1</v>
      </c>
      <c r="D34">
        <v>1</v>
      </c>
      <c r="E34">
        <v>1</v>
      </c>
      <c r="F34">
        <v>1</v>
      </c>
      <c r="G34">
        <v>1</v>
      </c>
    </row>
    <row r="35" spans="2:8" x14ac:dyDescent="0.35">
      <c r="B35" s="2" t="s">
        <v>378</v>
      </c>
      <c r="C35">
        <v>1</v>
      </c>
      <c r="D35">
        <v>1</v>
      </c>
      <c r="E35">
        <v>1</v>
      </c>
      <c r="F35">
        <v>1</v>
      </c>
      <c r="G35">
        <v>1</v>
      </c>
      <c r="H35">
        <v>1</v>
      </c>
    </row>
    <row r="36" spans="2:8" x14ac:dyDescent="0.35">
      <c r="B36" s="2" t="s">
        <v>373</v>
      </c>
      <c r="C36">
        <v>1</v>
      </c>
      <c r="D36">
        <v>1</v>
      </c>
      <c r="E36">
        <v>1</v>
      </c>
      <c r="F36">
        <v>1</v>
      </c>
      <c r="G36">
        <v>1</v>
      </c>
      <c r="H36">
        <v>1</v>
      </c>
    </row>
    <row r="37" spans="2:8" x14ac:dyDescent="0.35">
      <c r="B37" s="2" t="s">
        <v>380</v>
      </c>
      <c r="C37">
        <v>1</v>
      </c>
      <c r="D37">
        <v>1</v>
      </c>
      <c r="E37">
        <v>1</v>
      </c>
    </row>
    <row r="38" spans="2:8" x14ac:dyDescent="0.35">
      <c r="B38" s="2" t="s">
        <v>381</v>
      </c>
      <c r="C38">
        <v>1</v>
      </c>
      <c r="D38">
        <v>1</v>
      </c>
      <c r="E38">
        <v>1</v>
      </c>
    </row>
    <row r="39" spans="2:8" x14ac:dyDescent="0.35">
      <c r="B39" s="2" t="s">
        <v>382</v>
      </c>
      <c r="D39">
        <v>1</v>
      </c>
      <c r="E39">
        <v>1</v>
      </c>
    </row>
    <row r="40" spans="2:8" x14ac:dyDescent="0.35">
      <c r="B40" s="2" t="s">
        <v>164</v>
      </c>
      <c r="E40">
        <v>0</v>
      </c>
    </row>
    <row r="41" spans="2:8" x14ac:dyDescent="0.35">
      <c r="B41" s="2" t="s">
        <v>383</v>
      </c>
      <c r="E41">
        <v>0</v>
      </c>
    </row>
    <row r="42" spans="2:8" x14ac:dyDescent="0.35">
      <c r="B42" s="2" t="s">
        <v>384</v>
      </c>
      <c r="E42">
        <v>1</v>
      </c>
    </row>
    <row r="43" spans="2:8" x14ac:dyDescent="0.35">
      <c r="B43" s="2" t="s">
        <v>385</v>
      </c>
      <c r="F43">
        <v>1</v>
      </c>
    </row>
    <row r="44" spans="2:8" x14ac:dyDescent="0.35">
      <c r="B44" s="2" t="s">
        <v>386</v>
      </c>
      <c r="F44">
        <v>0</v>
      </c>
    </row>
    <row r="45" spans="2:8" x14ac:dyDescent="0.35">
      <c r="B45" s="2" t="s">
        <v>387</v>
      </c>
      <c r="F45">
        <v>1</v>
      </c>
    </row>
    <row r="46" spans="2:8" x14ac:dyDescent="0.35">
      <c r="B46" s="2" t="s">
        <v>388</v>
      </c>
      <c r="F46">
        <v>1</v>
      </c>
      <c r="G46">
        <v>1</v>
      </c>
      <c r="H46">
        <v>1</v>
      </c>
    </row>
    <row r="47" spans="2:8" x14ac:dyDescent="0.35">
      <c r="B47" s="2" t="s">
        <v>390</v>
      </c>
      <c r="G47">
        <v>0</v>
      </c>
    </row>
    <row r="48" spans="2:8" x14ac:dyDescent="0.35">
      <c r="B48" s="2" t="s">
        <v>391</v>
      </c>
      <c r="G48">
        <v>0</v>
      </c>
    </row>
    <row r="49" spans="2:8" x14ac:dyDescent="0.35">
      <c r="B49" s="2" t="s">
        <v>394</v>
      </c>
      <c r="G49">
        <v>1</v>
      </c>
      <c r="H49">
        <v>1</v>
      </c>
    </row>
    <row r="60" spans="2:8" x14ac:dyDescent="0.35">
      <c r="B60" s="6"/>
    </row>
    <row r="66" spans="2:2" ht="15.5" x14ac:dyDescent="0.35">
      <c r="B66" s="8"/>
    </row>
    <row r="67" spans="2:2" ht="15.5" x14ac:dyDescent="0.35">
      <c r="B67" s="9"/>
    </row>
    <row r="68" spans="2:2" ht="15.5" x14ac:dyDescent="0.35">
      <c r="B68" s="8"/>
    </row>
    <row r="69" spans="2:2" ht="15.5" x14ac:dyDescent="0.35">
      <c r="B69" s="8"/>
    </row>
    <row r="70" spans="2:2" ht="15.5" x14ac:dyDescent="0.35">
      <c r="B70" s="9"/>
    </row>
    <row r="71" spans="2:2" ht="15.5" x14ac:dyDescent="0.35">
      <c r="B71" s="9"/>
    </row>
    <row r="72" spans="2:2" ht="15.5" x14ac:dyDescent="0.35">
      <c r="B72" s="8"/>
    </row>
    <row r="73" spans="2:2" x14ac:dyDescent="0.35">
      <c r="B73" s="6"/>
    </row>
  </sheetData>
  <conditionalFormatting sqref="C46:I52 C45:F45 H45:I45 G53 H54:H59 C10:I44">
    <cfRule type="iconSet" priority="3">
      <iconSet iconSet="3Symbols">
        <cfvo type="percent" val="0"/>
        <cfvo type="num" val="1"/>
        <cfvo type="num" val="2"/>
      </iconSet>
    </cfRule>
  </conditionalFormatting>
  <conditionalFormatting sqref="F46:I46 F45 H45:I45 F27:I44">
    <cfRule type="iconSet" priority="2">
      <iconSet iconSet="3Symbols">
        <cfvo type="percent" val="0"/>
        <cfvo type="num" val="1"/>
        <cfvo type="num" val="2"/>
      </iconSet>
    </cfRule>
  </conditionalFormatting>
  <conditionalFormatting sqref="J21:J46 J10:J18">
    <cfRule type="iconSet" priority="511">
      <iconSet>
        <cfvo type="percent" val="0"/>
        <cfvo type="num" val="1"/>
        <cfvo type="num" val="2"/>
      </iconSet>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5FF39-550F-43E2-AD72-0EC5C79F36EB}">
  <dimension ref="A1:W72"/>
  <sheetViews>
    <sheetView topLeftCell="A2" zoomScale="79" workbookViewId="0">
      <selection activeCell="H7" sqref="H7"/>
    </sheetView>
  </sheetViews>
  <sheetFormatPr defaultRowHeight="14.5" x14ac:dyDescent="0.35"/>
  <cols>
    <col min="1" max="1" width="28" customWidth="1"/>
    <col min="2" max="2" width="35.453125" style="2" customWidth="1"/>
    <col min="3" max="8" width="15.453125" customWidth="1"/>
    <col min="10" max="10" width="12.54296875" customWidth="1"/>
    <col min="17" max="17" width="14.1796875" customWidth="1"/>
  </cols>
  <sheetData>
    <row r="1" spans="1:23" x14ac:dyDescent="0.35">
      <c r="A1" s="1" t="s">
        <v>352</v>
      </c>
      <c r="C1">
        <f xml:space="preserve"> SUM(C3:C4) / (C3+ C4+ C7) * 100</f>
        <v>100</v>
      </c>
      <c r="D1">
        <f t="shared" ref="D1:H1" si="0" xml:space="preserve"> SUM(D3:D4) / (D3+ D4+ D7) * 100</f>
        <v>100</v>
      </c>
      <c r="E1">
        <f t="shared" si="0"/>
        <v>100</v>
      </c>
      <c r="F1">
        <f t="shared" si="0"/>
        <v>92.857142857142861</v>
      </c>
      <c r="G1">
        <f t="shared" si="0"/>
        <v>86.666666666666671</v>
      </c>
      <c r="H1">
        <f t="shared" si="0"/>
        <v>100</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93.75</v>
      </c>
      <c r="D2">
        <f t="shared" ref="D2:H2" si="1" xml:space="preserve"> SUM(D3:D4) / SUM(D3:D5) *100</f>
        <v>93.75</v>
      </c>
      <c r="E2">
        <f t="shared" si="1"/>
        <v>93.75</v>
      </c>
      <c r="F2">
        <f t="shared" si="1"/>
        <v>81.25</v>
      </c>
      <c r="G2">
        <f t="shared" si="1"/>
        <v>81.25</v>
      </c>
      <c r="H2">
        <f t="shared" si="1"/>
        <v>81.25</v>
      </c>
      <c r="J2" s="1" t="s">
        <v>13</v>
      </c>
      <c r="K2" s="10"/>
      <c r="L2" s="10"/>
      <c r="M2" s="10"/>
      <c r="Q2" s="1" t="s">
        <v>13</v>
      </c>
      <c r="R2" s="10"/>
      <c r="S2" s="10"/>
      <c r="T2" s="10"/>
    </row>
    <row r="3" spans="1:23" x14ac:dyDescent="0.35">
      <c r="A3" s="1" t="s">
        <v>242</v>
      </c>
      <c r="C3" s="2">
        <f>COUNTIF(C10:C25, 2)</f>
        <v>15</v>
      </c>
      <c r="D3" s="2">
        <f t="shared" ref="D3:H3" si="2">COUNTIF(D10:D25, 2)</f>
        <v>15</v>
      </c>
      <c r="E3" s="2">
        <f t="shared" si="2"/>
        <v>15</v>
      </c>
      <c r="F3" s="2">
        <f t="shared" si="2"/>
        <v>13</v>
      </c>
      <c r="G3" s="2">
        <f t="shared" si="2"/>
        <v>13</v>
      </c>
      <c r="H3" s="2">
        <f t="shared" si="2"/>
        <v>13</v>
      </c>
      <c r="J3" s="1" t="s">
        <v>14</v>
      </c>
      <c r="K3" s="10" cm="1">
        <f t="array" ref="K3">IFERROR(SUMPRODUCT((C10:C100&lt;&gt;"")*(D10:D100&lt;&gt;"")*(C10:C100=D10:D100))/SUMPRODUCT(--((C10:C100&lt;&gt;"")+(D10:D100&lt;&gt;"")&gt;0)),"")</f>
        <v>1</v>
      </c>
      <c r="L3" s="10"/>
      <c r="M3" s="10"/>
      <c r="Q3" s="1" t="s">
        <v>14</v>
      </c>
      <c r="R3" s="10" cm="1">
        <f t="array" ref="R3">IFERROR(
   SUMPRODUCT((C10:C100&lt;&gt;"")*(D10:D100&lt;&gt;"")*
   ((C10:C100=D10:D100)+((C10:C100=1)*(D10:D100=2))+((C10:C100=2)*(D10:D100=1))))
   /
   SUMPRODUCT(--((C10:C100&lt;&gt;"")+(D10:D100&lt;&gt;"")&gt;0)),
"")</f>
        <v>1</v>
      </c>
      <c r="S3" s="10"/>
      <c r="T3" s="10"/>
    </row>
    <row r="4" spans="1:23" x14ac:dyDescent="0.35">
      <c r="A4" s="1" t="s">
        <v>243</v>
      </c>
      <c r="C4">
        <f>COUNTIF(C10:C25, 1)</f>
        <v>0</v>
      </c>
      <c r="D4">
        <f t="shared" ref="D4:H4" si="3">COUNTIF(D10:D25, 1)</f>
        <v>0</v>
      </c>
      <c r="E4">
        <f t="shared" si="3"/>
        <v>0</v>
      </c>
      <c r="F4">
        <f t="shared" si="3"/>
        <v>0</v>
      </c>
      <c r="G4">
        <f t="shared" si="3"/>
        <v>0</v>
      </c>
      <c r="H4">
        <f t="shared" si="3"/>
        <v>0</v>
      </c>
      <c r="J4" s="1" t="s">
        <v>15</v>
      </c>
      <c r="K4" s="10" cm="1">
        <f t="array" ref="K4">IFERROR(SUMPRODUCT((C10:C100&lt;&gt;"")*(E10:E100&lt;&gt;"")*(C10:C100=E10:E100))/SUMPRODUCT(--((C10:C100&lt;&gt;"")+(E10:E100&lt;&gt;"")&gt;0)),"")</f>
        <v>0.95238095238095233</v>
      </c>
      <c r="L4" s="10" cm="1">
        <f t="array" ref="L4">IFERROR(SUMPRODUCT((E10:E100&lt;&gt;"")*(D10:D100&lt;&gt;"")*(E10:E100=D10:D100))/SUMPRODUCT(--((E10:E100&lt;&gt;"")+(D10:D100&lt;&gt;"")&gt;0)),"")</f>
        <v>0.95238095238095233</v>
      </c>
      <c r="M4" s="10"/>
      <c r="Q4" s="1" t="s">
        <v>15</v>
      </c>
      <c r="R4" s="10" cm="1">
        <f t="array" ref="R4">IFERROR(
   SUMPRODUCT((C10:C100&lt;&gt;"")*(E10:E100&lt;&gt;"")*
   ((C10:C100=E10:E100)+((C10:C100=1)*(E10:E100=2))+((C10:C100=2)*(E10:E100=1))))
   /
   SUMPRODUCT(--((C10:C100&lt;&gt;"")+(E10:E100&lt;&gt;"")&gt;0)),
"")</f>
        <v>0.95238095238095233</v>
      </c>
      <c r="S4" s="10" cm="1">
        <f t="array" ref="S4">IFERROR(
   SUMPRODUCT((E10:E100&lt;&gt;"")*(D10:D100&lt;&gt;"")*
   ((E10:E100=D10:D100)+((E10:E100=1)*(D10:D100=2))+((E10:E100=2)*(D10:D100=1))))
   /
   SUMPRODUCT(--((E10:E100&lt;&gt;"")+(D10:D100&lt;&gt;"")&gt;0)),
"")</f>
        <v>0.95238095238095233</v>
      </c>
      <c r="T4" s="10"/>
    </row>
    <row r="5" spans="1:23" x14ac:dyDescent="0.35">
      <c r="A5" s="1" t="s">
        <v>244</v>
      </c>
      <c r="C5">
        <f>COUNTIF(C10:C25, 0)</f>
        <v>1</v>
      </c>
      <c r="D5">
        <f t="shared" ref="D5:H5" si="4">COUNTIF(D10:D25, 0)</f>
        <v>1</v>
      </c>
      <c r="E5">
        <f t="shared" si="4"/>
        <v>1</v>
      </c>
      <c r="F5">
        <f t="shared" si="4"/>
        <v>3</v>
      </c>
      <c r="G5">
        <f t="shared" si="4"/>
        <v>3</v>
      </c>
      <c r="H5">
        <f t="shared" si="4"/>
        <v>3</v>
      </c>
      <c r="J5" s="1" t="s">
        <v>16</v>
      </c>
      <c r="K5" s="11" cm="1">
        <f t="array" ref="K5">IFERROR(SUMPRODUCT((C10:C100&lt;&gt;"")*(F10:F100&lt;&gt;"")*(C10:C100=F10:F100))/SUMPRODUCT(--((C10:C100&lt;&gt;"")+(F10:F100&lt;&gt;"")&gt;0)),"")</f>
        <v>0.58333333333333337</v>
      </c>
      <c r="L5" s="11" cm="1">
        <f t="array" ref="L5">IFERROR(SUMPRODUCT((F10:F100&lt;&gt;"")*(D10:D100&lt;&gt;"")*(F10:F100=D10:D100))/SUMPRODUCT(--((F10:F100&lt;&gt;"")+(D10:D100&lt;&gt;"")&gt;0)),"")</f>
        <v>0.58333333333333337</v>
      </c>
      <c r="M5" s="11" cm="1">
        <f t="array" ref="M5">IFERROR(SUMPRODUCT((F10:F100&lt;&gt;"")*(E10:E100&lt;&gt;"")*(F10:F100=E10:E100))/SUMPRODUCT(--((F10:F100&lt;&gt;"")+(E10:E100&lt;&gt;"")&gt;0)),"")</f>
        <v>0.60869565217391308</v>
      </c>
      <c r="N5" s="10"/>
      <c r="O5" s="10"/>
      <c r="Q5" s="1" t="s">
        <v>16</v>
      </c>
      <c r="R5" s="11" cm="1">
        <f t="array" ref="R5">IFERROR(
   SUMPRODUCT((C10:C100&lt;&gt;"")*(F10:F100&lt;&gt;"")*
   ((C10:C100=F10:F100)+((C10:C100=1)*(F10:F100=2))+((C10:C100=2)*(F10:F100=1))))
   /
   SUMPRODUCT(--((C10:C100&lt;&gt;"")+(F10:F100&lt;&gt;"")&gt;0)),
"")</f>
        <v>0.58333333333333337</v>
      </c>
      <c r="S5" s="11" cm="1">
        <f t="array" ref="S5">IFERROR(
   SUMPRODUCT((F10:F100&lt;&gt;"")*(D10:D100&lt;&gt;"")*
   ((F10:F100=D10:D100)+((F10:F100=1)*(D10:D100=2))+((F10:F100=2)*(D10:D100=1))))
   /
   SUMPRODUCT(--((F10:F100&lt;&gt;"")+(D10:D100&lt;&gt;"")&gt;0)),
"")</f>
        <v>0.58333333333333337</v>
      </c>
      <c r="T5" s="11" cm="1">
        <f t="array" ref="T5">IFERROR(
   SUMPRODUCT((F10:F100&lt;&gt;"")*(E10:E100&lt;&gt;"")*
   ((F10:F100=E10:E100)+((F10:F100=1)*(E10:E100=2))+((F10:F100=2)*(E10:E100=1))))
   /
   SUMPRODUCT(--((F10:F100&lt;&gt;"")+(E10:E100&lt;&gt;"")&gt;0)),
"")</f>
        <v>0.60869565217391308</v>
      </c>
      <c r="U5" s="10"/>
      <c r="V5" s="10"/>
    </row>
    <row r="6" spans="1:23" x14ac:dyDescent="0.35">
      <c r="A6" s="1" t="s">
        <v>245</v>
      </c>
      <c r="C6">
        <f t="shared" ref="C6:H6" si="5">COUNTIF(C27:C58,0) + COUNTIF(C27:C58,1)</f>
        <v>5</v>
      </c>
      <c r="D6">
        <f t="shared" si="5"/>
        <v>5</v>
      </c>
      <c r="E6">
        <f t="shared" si="5"/>
        <v>4</v>
      </c>
      <c r="F6">
        <f t="shared" si="5"/>
        <v>3</v>
      </c>
      <c r="G6">
        <f t="shared" si="5"/>
        <v>7</v>
      </c>
      <c r="H6">
        <f t="shared" si="5"/>
        <v>0</v>
      </c>
      <c r="J6" s="1" t="s">
        <v>17</v>
      </c>
      <c r="K6" s="11" cm="1">
        <f t="array" ref="K6">IFERROR(SUMPRODUCT((C10:C100&lt;&gt;"")*(G10:G100&lt;&gt;"")*(C10:C100=G10:G100))/SUMPRODUCT(--((C10:C100&lt;&gt;"")+(G10:G100&lt;&gt;"")&gt;0)),"")</f>
        <v>0.5</v>
      </c>
      <c r="L6" s="11" cm="1">
        <f t="array" ref="L6">SUMPRODUCT((D10:D100&lt;&gt;0)*(G10:G100&lt;&gt;0)) / SUMPRODUCT(((D10:D100&lt;&gt;0)+(G10:G100&lt;&gt;0)&gt;0)*1)</f>
        <v>0.52</v>
      </c>
      <c r="M6" s="11" cm="1">
        <f t="array" ref="M6">IFERROR(SUMPRODUCT((G10:G100&lt;&gt;"")*(E10:E100&lt;&gt;"")*(G10:G100=E10:E100))/SUMPRODUCT(--((G10:G100&lt;&gt;"")+(E10:E100&lt;&gt;"")&gt;0)),"")</f>
        <v>0.51851851851851849</v>
      </c>
      <c r="N6" s="10" cm="1">
        <f t="array" ref="N6">IFERROR(SUMPRODUCT((G10:G100&lt;&gt;"")*(F10:F100&lt;&gt;"")*(G10:G100=F10:F100))/SUMPRODUCT(--((G10:G100&lt;&gt;"")+(F10:F100&lt;&gt;"")&gt;0)),"")</f>
        <v>0.75</v>
      </c>
      <c r="O6" s="10"/>
      <c r="Q6" s="1" t="s">
        <v>17</v>
      </c>
      <c r="R6" s="11" cm="1">
        <f t="array" ref="R6">IFERROR(
   SUMPRODUCT((C10:C100&lt;&gt;"")*(G10:G100&lt;&gt;"")*
   ((C10:C100=G10:G100)+((C10:C100=1)*(G10:G100=2))+((C10:C100=2)*(G10:G100=1))))
   /
   SUMPRODUCT(--((C10:C100&lt;&gt;"")+(G10:G100&lt;&gt;"")&gt;0)),
"")</f>
        <v>0.5</v>
      </c>
      <c r="S6" s="11" cm="1">
        <f t="array" ref="S6">IFERROR(
   SUMPRODUCT((D10:D100&lt;&gt;"")*(G10:G100&lt;&gt;"")*
   ((D10:D100=G10:G100)+((D10:D100=1)*(G10:G100=2))+((D10:D100=2)*(G10:G100=1))))
   /
   SUMPRODUCT(--((D10:D100&lt;&gt;"")+(G10:G100&lt;&gt;"")&gt;0)),
"")</f>
        <v>0.5</v>
      </c>
      <c r="T6" s="11" cm="1">
        <f t="array" ref="T6">IFERROR(
   SUMPRODUCT((G10:G100&lt;&gt;"")*(E10:E100&lt;&gt;"")*
   ((G10:G100=E10:E100)+((G10:G100=1)*(E10:E100=2))+((G10:G100=2)*(E10:E100=1))))
   /
   SUMPRODUCT(--((G10:G100&lt;&gt;"")+(E10:E100&lt;&gt;"")&gt;0)),
"")</f>
        <v>0.51851851851851849</v>
      </c>
      <c r="U6" s="10" cm="1">
        <f t="array" ref="U6">IFERROR(
   SUMPRODUCT((F10:F100&lt;&gt;"")*(G10:G100&lt;&gt;"")*
   ((F10:F100=G10:G100)+((F10:F100=1)*(G10:G100=2))+((F10:F100=2)*(G10:G100=1))))
   /
   SUMPRODUCT(--((F10:F100&lt;&gt;"")+(G10:G100&lt;&gt;"")&gt;0)),
"")</f>
        <v>0.75</v>
      </c>
      <c r="V6" s="10"/>
    </row>
    <row r="7" spans="1:23" x14ac:dyDescent="0.35">
      <c r="A7" s="1" t="s">
        <v>246</v>
      </c>
      <c r="C7">
        <f t="shared" ref="C7:H7" si="6">COUNTIF(C27:C58,0)</f>
        <v>0</v>
      </c>
      <c r="D7">
        <f t="shared" si="6"/>
        <v>0</v>
      </c>
      <c r="E7">
        <f t="shared" si="6"/>
        <v>0</v>
      </c>
      <c r="F7">
        <f t="shared" si="6"/>
        <v>1</v>
      </c>
      <c r="G7">
        <f t="shared" si="6"/>
        <v>2</v>
      </c>
      <c r="H7">
        <f t="shared" si="6"/>
        <v>0</v>
      </c>
      <c r="J7" s="1" t="s">
        <v>18</v>
      </c>
      <c r="K7" s="11" cm="1">
        <f t="array" ref="K7">IFERROR(SUMPRODUCT((C10:C100&lt;&gt;"")*(H10:H100&lt;&gt;"")*(C10:C100=H10:H100))/SUMPRODUCT(--((C10:C100&lt;&gt;"")+(H10:H100&lt;&gt;"")&gt;0)),"")</f>
        <v>0.66666666666666663</v>
      </c>
      <c r="L7" s="11" cm="1">
        <f t="array" ref="L7">IFERROR(SUMPRODUCT((H10:H100&lt;&gt;"")*(D10:D100&lt;&gt;"")*(H10:H100=D10:D100))/SUMPRODUCT(--((H10:H100&lt;&gt;"")+(D10:D100&lt;&gt;"")&gt;0)),"")</f>
        <v>0.66666666666666663</v>
      </c>
      <c r="M7" s="11" cm="1">
        <f t="array" ref="M7">IFERROR(SUMPRODUCT((H10:H100&lt;&gt;"")*(E10:E100&lt;&gt;"")*(H10:H100=E10:E100))/SUMPRODUCT(--((H10:H100&lt;&gt;"")+(E10:E100&lt;&gt;"")&gt;0)),"")</f>
        <v>0.7</v>
      </c>
      <c r="N7" s="10" cm="1">
        <f t="array" ref="N7">IFERROR(SUMPRODUCT((F10:F100&lt;&gt;"")*(H10:H100&lt;&gt;"")*(F10:F100=H10:H100))/SUMPRODUCT(--((F10:F100&lt;&gt;"")+(H10:H100&lt;&gt;"")&gt;0)),"")</f>
        <v>0.84210526315789469</v>
      </c>
      <c r="O7" s="10" cm="1">
        <f t="array" ref="O7">IFERROR(SUMPRODUCT((G10:G100&lt;&gt;"")*(H10:H100&lt;&gt;"")*(G10:G100=H10:H100))/SUMPRODUCT(--((G10:G100&lt;&gt;"")+(H10:H100&lt;&gt;"")&gt;0)),"")</f>
        <v>0.69565217391304346</v>
      </c>
      <c r="Q7" s="1" t="s">
        <v>18</v>
      </c>
      <c r="R7" s="11" cm="1">
        <f t="array" ref="R7">IFERROR(
   SUMPRODUCT((C10:C100&lt;&gt;"")*(H10:H100&lt;&gt;"")*
   ((C10:C100=H10:H100)+((C10:C100=1)*(H10:H100=2))+((C10:C100=2)*(H10:H100=1))))
   /
   SUMPRODUCT(--((C10:C100&lt;&gt;"")+(H10:H100&lt;&gt;"")&gt;0)),
"")</f>
        <v>0.66666666666666663</v>
      </c>
      <c r="S7" s="11" cm="1">
        <f t="array" ref="S7">IFERROR(
   SUMPRODUCT((H10:H100&lt;&gt;"")*(D10:D100&lt;&gt;"")*
   ((H10:H100=D10:D100)+((H10:H100=1)*(D10:D100=2))+((H10:H100=2)*(D10:D100=1))))
   /
   SUMPRODUCT(--((H10:H100&lt;&gt;"")+(D10:D100&lt;&gt;"")&gt;0)),
"")</f>
        <v>0.66666666666666663</v>
      </c>
      <c r="T7" s="11" cm="1">
        <f t="array" ref="T7">IFERROR(
   SUMPRODUCT((H10:H100&lt;&gt;"")*(E10:E100&lt;&gt;"")*
   ((H10:H100=E10:E100)+((H10:H100=1)*(E10:E100=2))+((H10:H100=2)*(E10:E100=1))))
   /
   SUMPRODUCT(--((H10:H100&lt;&gt;"")+(E10:E100&lt;&gt;"")&gt;0)),
"")</f>
        <v>0.7</v>
      </c>
      <c r="U7" s="10" cm="1">
        <f t="array" ref="U7">IFERROR(
   SUMPRODUCT((F10:F100&lt;&gt;"")*(H10:H100&lt;&gt;"")*
   ((F10:F100=H10:H100)+((F10:F100=1)*(H10:H100=2))+((F10:F100=2)*(H10:H100=1))))
   /
   SUMPRODUCT(--((F10:F100&lt;&gt;"")+(H10:H100&lt;&gt;"")&gt;0)),
"")</f>
        <v>0.84210526315789469</v>
      </c>
      <c r="V7" s="10" cm="1">
        <f t="array" ref="V7">IFERROR(
   SUMPRODUCT((H10:H100&lt;&gt;"")*(G10:G100&lt;&gt;"")*
   ((H10:H100=G10:G100)+((H10:H100=1)*(G10:G100=2))+((H10:H100=2)*(G10:G100=1))))
   /
   SUMPRODUCT(--((H10:H100&lt;&gt;"")+(G10:G100&lt;&gt;"")&gt;0)),
"")</f>
        <v>0.69565217391304346</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5</v>
      </c>
      <c r="B10" s="2" t="s">
        <v>396</v>
      </c>
      <c r="C10">
        <v>2</v>
      </c>
      <c r="D10">
        <v>2</v>
      </c>
      <c r="E10">
        <v>2</v>
      </c>
      <c r="F10">
        <v>2</v>
      </c>
      <c r="G10">
        <v>2</v>
      </c>
      <c r="H10">
        <v>2</v>
      </c>
    </row>
    <row r="11" spans="1:23" x14ac:dyDescent="0.35">
      <c r="A11" s="1" t="s">
        <v>397</v>
      </c>
      <c r="B11" s="2" t="s">
        <v>398</v>
      </c>
      <c r="C11">
        <v>2</v>
      </c>
      <c r="D11">
        <v>2</v>
      </c>
      <c r="E11">
        <v>2</v>
      </c>
      <c r="F11">
        <v>2</v>
      </c>
      <c r="G11">
        <v>2</v>
      </c>
      <c r="H11">
        <v>2</v>
      </c>
    </row>
    <row r="12" spans="1:23" x14ac:dyDescent="0.35">
      <c r="A12" s="1"/>
      <c r="B12" s="2" t="s">
        <v>399</v>
      </c>
      <c r="C12">
        <v>2</v>
      </c>
      <c r="D12">
        <v>2</v>
      </c>
      <c r="E12">
        <v>2</v>
      </c>
      <c r="F12">
        <v>2</v>
      </c>
      <c r="G12">
        <v>2</v>
      </c>
      <c r="H12">
        <v>2</v>
      </c>
    </row>
    <row r="13" spans="1:23" x14ac:dyDescent="0.35">
      <c r="A13" s="1"/>
      <c r="B13" s="2" t="s">
        <v>400</v>
      </c>
      <c r="C13">
        <v>2</v>
      </c>
      <c r="D13">
        <v>2</v>
      </c>
      <c r="E13">
        <v>2</v>
      </c>
      <c r="F13">
        <v>2</v>
      </c>
      <c r="G13">
        <v>2</v>
      </c>
      <c r="H13">
        <v>2</v>
      </c>
    </row>
    <row r="14" spans="1:23" x14ac:dyDescent="0.35">
      <c r="A14" s="1" t="s">
        <v>6</v>
      </c>
      <c r="B14" s="2" t="s">
        <v>401</v>
      </c>
      <c r="C14">
        <v>2</v>
      </c>
      <c r="D14">
        <v>2</v>
      </c>
      <c r="E14">
        <v>2</v>
      </c>
      <c r="F14">
        <v>2</v>
      </c>
      <c r="G14">
        <v>2</v>
      </c>
      <c r="H14">
        <v>2</v>
      </c>
    </row>
    <row r="15" spans="1:23" x14ac:dyDescent="0.35">
      <c r="A15" s="1"/>
      <c r="B15" s="2" t="s">
        <v>402</v>
      </c>
      <c r="C15">
        <v>2</v>
      </c>
      <c r="D15">
        <v>2</v>
      </c>
      <c r="E15">
        <v>2</v>
      </c>
      <c r="F15">
        <v>2</v>
      </c>
      <c r="G15">
        <v>2</v>
      </c>
      <c r="H15">
        <v>2</v>
      </c>
    </row>
    <row r="16" spans="1:23" x14ac:dyDescent="0.35">
      <c r="A16" s="1"/>
      <c r="B16" s="2" t="s">
        <v>403</v>
      </c>
      <c r="C16">
        <v>2</v>
      </c>
      <c r="D16">
        <v>2</v>
      </c>
      <c r="E16">
        <v>2</v>
      </c>
      <c r="F16">
        <v>2</v>
      </c>
      <c r="G16">
        <v>2</v>
      </c>
      <c r="H16">
        <v>2</v>
      </c>
    </row>
    <row r="17" spans="1:9" x14ac:dyDescent="0.35">
      <c r="A17" s="1"/>
      <c r="B17" s="2" t="s">
        <v>404</v>
      </c>
      <c r="C17">
        <v>2</v>
      </c>
      <c r="D17">
        <v>2</v>
      </c>
      <c r="E17">
        <v>2</v>
      </c>
      <c r="F17">
        <v>2</v>
      </c>
      <c r="G17">
        <v>2</v>
      </c>
      <c r="H17">
        <v>2</v>
      </c>
    </row>
    <row r="18" spans="1:9" x14ac:dyDescent="0.35">
      <c r="A18" s="1"/>
      <c r="B18" s="2" t="s">
        <v>405</v>
      </c>
      <c r="C18">
        <v>2</v>
      </c>
      <c r="D18">
        <v>2</v>
      </c>
      <c r="E18">
        <v>2</v>
      </c>
      <c r="F18">
        <v>2</v>
      </c>
      <c r="G18">
        <v>2</v>
      </c>
      <c r="H18">
        <v>2</v>
      </c>
    </row>
    <row r="19" spans="1:9" x14ac:dyDescent="0.35">
      <c r="A19" s="1"/>
      <c r="B19" s="2" t="s">
        <v>407</v>
      </c>
      <c r="C19">
        <v>2</v>
      </c>
      <c r="D19">
        <v>2</v>
      </c>
      <c r="E19">
        <v>2</v>
      </c>
      <c r="F19">
        <v>2</v>
      </c>
      <c r="G19">
        <v>2</v>
      </c>
      <c r="H19">
        <v>2</v>
      </c>
    </row>
    <row r="20" spans="1:9" x14ac:dyDescent="0.35">
      <c r="A20" s="1"/>
      <c r="B20" s="2" t="s">
        <v>408</v>
      </c>
      <c r="C20">
        <v>2</v>
      </c>
      <c r="D20">
        <v>2</v>
      </c>
      <c r="E20">
        <v>2</v>
      </c>
      <c r="F20">
        <v>2</v>
      </c>
      <c r="G20">
        <v>2</v>
      </c>
      <c r="H20">
        <v>2</v>
      </c>
    </row>
    <row r="21" spans="1:9" x14ac:dyDescent="0.35">
      <c r="A21" s="1" t="s">
        <v>284</v>
      </c>
      <c r="B21" s="2" t="s">
        <v>406</v>
      </c>
      <c r="C21">
        <v>2</v>
      </c>
      <c r="D21">
        <v>2</v>
      </c>
      <c r="E21">
        <v>2</v>
      </c>
      <c r="F21">
        <v>2</v>
      </c>
      <c r="G21">
        <v>2</v>
      </c>
      <c r="H21">
        <v>2</v>
      </c>
    </row>
    <row r="22" spans="1:9" x14ac:dyDescent="0.35">
      <c r="A22" s="1"/>
      <c r="B22" s="2" t="s">
        <v>420</v>
      </c>
      <c r="C22">
        <v>2</v>
      </c>
      <c r="D22">
        <v>2</v>
      </c>
      <c r="E22">
        <v>2</v>
      </c>
      <c r="F22">
        <v>2</v>
      </c>
      <c r="G22">
        <v>2</v>
      </c>
      <c r="H22">
        <v>2</v>
      </c>
    </row>
    <row r="23" spans="1:9" x14ac:dyDescent="0.35">
      <c r="A23" s="1"/>
      <c r="B23" s="2" t="s">
        <v>416</v>
      </c>
      <c r="C23">
        <v>0</v>
      </c>
      <c r="D23">
        <v>0</v>
      </c>
      <c r="E23">
        <v>0</v>
      </c>
      <c r="F23">
        <v>0</v>
      </c>
      <c r="G23">
        <v>0</v>
      </c>
      <c r="H23">
        <v>0</v>
      </c>
    </row>
    <row r="24" spans="1:9" x14ac:dyDescent="0.35">
      <c r="A24" s="1" t="s">
        <v>395</v>
      </c>
      <c r="B24" s="2" t="s">
        <v>409</v>
      </c>
      <c r="C24">
        <v>2</v>
      </c>
      <c r="D24">
        <v>2</v>
      </c>
      <c r="E24">
        <v>2</v>
      </c>
      <c r="F24">
        <v>0</v>
      </c>
      <c r="G24">
        <v>0</v>
      </c>
      <c r="H24">
        <v>0</v>
      </c>
    </row>
    <row r="25" spans="1:9" x14ac:dyDescent="0.35">
      <c r="A25" s="1"/>
      <c r="B25" s="2" t="s">
        <v>412</v>
      </c>
      <c r="C25">
        <v>2</v>
      </c>
      <c r="D25">
        <v>2</v>
      </c>
      <c r="E25">
        <v>2</v>
      </c>
      <c r="F25">
        <v>0</v>
      </c>
      <c r="G25">
        <v>0</v>
      </c>
      <c r="H25">
        <v>0</v>
      </c>
    </row>
    <row r="26" spans="1:9" s="3" customFormat="1" x14ac:dyDescent="0.35">
      <c r="F26" s="4"/>
      <c r="G26" s="4"/>
      <c r="H26" s="4"/>
      <c r="I26" s="4"/>
    </row>
    <row r="27" spans="1:9" x14ac:dyDescent="0.35">
      <c r="B27" s="2" t="s">
        <v>410</v>
      </c>
      <c r="C27">
        <v>1</v>
      </c>
      <c r="D27">
        <v>1</v>
      </c>
      <c r="E27">
        <v>1</v>
      </c>
    </row>
    <row r="28" spans="1:9" x14ac:dyDescent="0.35">
      <c r="B28" s="2" t="s">
        <v>411</v>
      </c>
      <c r="C28">
        <v>1</v>
      </c>
      <c r="D28">
        <v>1</v>
      </c>
      <c r="E28">
        <v>1</v>
      </c>
    </row>
    <row r="29" spans="1:9" x14ac:dyDescent="0.35">
      <c r="B29" s="2" t="s">
        <v>413</v>
      </c>
      <c r="C29">
        <v>1</v>
      </c>
      <c r="D29">
        <v>1</v>
      </c>
      <c r="E29">
        <v>1</v>
      </c>
    </row>
    <row r="30" spans="1:9" x14ac:dyDescent="0.35">
      <c r="B30" s="2" t="s">
        <v>414</v>
      </c>
      <c r="C30">
        <v>1</v>
      </c>
      <c r="D30">
        <v>1</v>
      </c>
    </row>
    <row r="31" spans="1:9" x14ac:dyDescent="0.35">
      <c r="B31" s="2" t="s">
        <v>415</v>
      </c>
      <c r="C31">
        <v>1</v>
      </c>
      <c r="D31">
        <v>1</v>
      </c>
      <c r="E31">
        <v>1</v>
      </c>
    </row>
    <row r="32" spans="1:9" x14ac:dyDescent="0.35">
      <c r="B32" s="2" t="s">
        <v>417</v>
      </c>
      <c r="F32">
        <v>1</v>
      </c>
      <c r="G32">
        <v>1</v>
      </c>
    </row>
    <row r="33" spans="2:7" x14ac:dyDescent="0.35">
      <c r="B33" s="2" t="s">
        <v>418</v>
      </c>
      <c r="F33">
        <v>1</v>
      </c>
      <c r="G33">
        <v>1</v>
      </c>
    </row>
    <row r="34" spans="2:7" x14ac:dyDescent="0.35">
      <c r="B34" s="2" t="s">
        <v>419</v>
      </c>
      <c r="F34">
        <v>0</v>
      </c>
    </row>
    <row r="35" spans="2:7" x14ac:dyDescent="0.35">
      <c r="B35" s="2" t="s">
        <v>421</v>
      </c>
      <c r="G35">
        <v>1</v>
      </c>
    </row>
    <row r="36" spans="2:7" x14ac:dyDescent="0.35">
      <c r="B36" s="2" t="s">
        <v>422</v>
      </c>
      <c r="G36">
        <v>0</v>
      </c>
    </row>
    <row r="37" spans="2:7" x14ac:dyDescent="0.35">
      <c r="B37" s="2" t="s">
        <v>423</v>
      </c>
      <c r="G37">
        <v>1</v>
      </c>
    </row>
    <row r="38" spans="2:7" x14ac:dyDescent="0.35">
      <c r="B38" s="2" t="s">
        <v>424</v>
      </c>
      <c r="G38">
        <v>1</v>
      </c>
    </row>
    <row r="39" spans="2:7" x14ac:dyDescent="0.35">
      <c r="B39" s="2" t="s">
        <v>425</v>
      </c>
      <c r="G39">
        <v>0</v>
      </c>
    </row>
    <row r="59" spans="2:2" x14ac:dyDescent="0.35">
      <c r="B59" s="6"/>
    </row>
    <row r="65" spans="2:2" ht="15.5" x14ac:dyDescent="0.35">
      <c r="B65" s="8"/>
    </row>
    <row r="66" spans="2:2" ht="15.5" x14ac:dyDescent="0.35">
      <c r="B66" s="9"/>
    </row>
    <row r="67" spans="2:2" ht="15.5" x14ac:dyDescent="0.35">
      <c r="B67" s="8"/>
    </row>
    <row r="68" spans="2:2" ht="15.5" x14ac:dyDescent="0.35">
      <c r="B68" s="8"/>
    </row>
    <row r="69" spans="2:2" ht="15.5" x14ac:dyDescent="0.35">
      <c r="B69" s="9"/>
    </row>
    <row r="70" spans="2:2" ht="15.5" x14ac:dyDescent="0.35">
      <c r="B70" s="9"/>
    </row>
    <row r="71" spans="2:2" ht="15.5" x14ac:dyDescent="0.35">
      <c r="B71" s="8"/>
    </row>
    <row r="72" spans="2:2" x14ac:dyDescent="0.35">
      <c r="B72" s="6"/>
    </row>
  </sheetData>
  <conditionalFormatting sqref="C45:I51 C44:F44 H44:I44 G52 H53:H58 C10:I43">
    <cfRule type="iconSet" priority="2">
      <iconSet iconSet="3Symbols">
        <cfvo type="percent" val="0"/>
        <cfvo type="num" val="1"/>
        <cfvo type="num" val="2"/>
      </iconSet>
    </cfRule>
  </conditionalFormatting>
  <conditionalFormatting sqref="F45:I45 F44 H44:I44 F27:I43">
    <cfRule type="iconSet" priority="1">
      <iconSet iconSet="3Symbols">
        <cfvo type="percent" val="0"/>
        <cfvo type="num" val="1"/>
        <cfvo type="num" val="2"/>
      </iconSet>
    </cfRule>
  </conditionalFormatting>
  <conditionalFormatting sqref="J21:J45 J10:J19">
    <cfRule type="iconSet" priority="542">
      <iconSet>
        <cfvo type="percent" val="0"/>
        <cfvo type="num" val="1"/>
        <cfvo type="num" val="2"/>
      </iconSet>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D318E-71E3-410B-8768-C51DD3E82D8B}">
  <dimension ref="A1:W86"/>
  <sheetViews>
    <sheetView topLeftCell="A10" zoomScale="106" workbookViewId="0">
      <selection activeCell="A34" sqref="A34"/>
    </sheetView>
  </sheetViews>
  <sheetFormatPr defaultRowHeight="14.5" x14ac:dyDescent="0.35"/>
  <cols>
    <col min="1" max="1" width="28" customWidth="1"/>
    <col min="2" max="2" width="35.453125" style="2" customWidth="1"/>
    <col min="3" max="8" width="15.453125" customWidth="1"/>
    <col min="10" max="10" width="12.54296875" customWidth="1"/>
    <col min="17" max="17" width="13.1796875" customWidth="1"/>
  </cols>
  <sheetData>
    <row r="1" spans="1:23" x14ac:dyDescent="0.35">
      <c r="A1" s="1" t="s">
        <v>352</v>
      </c>
      <c r="C1">
        <f xml:space="preserve"> SUM(C3:C4) / (C3+ C4+ C7) * 100</f>
        <v>93.333333333333329</v>
      </c>
      <c r="D1">
        <f t="shared" ref="D1:H1" si="0" xml:space="preserve"> SUM(D3:D4) / (D3+ D4+ D7) * 100</f>
        <v>100</v>
      </c>
      <c r="E1">
        <f t="shared" si="0"/>
        <v>100</v>
      </c>
      <c r="F1">
        <f t="shared" ref="F1" si="1" xml:space="preserve"> SUM(F3:F4) / (F3+ F4+ F7) * 100</f>
        <v>100</v>
      </c>
      <c r="G1">
        <f t="shared" si="0"/>
        <v>94.444444444444443</v>
      </c>
      <c r="H1">
        <f t="shared" si="0"/>
        <v>100</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96.551724137931032</v>
      </c>
      <c r="D2">
        <f t="shared" ref="D2:H2" si="2" xml:space="preserve"> SUM(D3:D4) / SUM(D3:D5) *100</f>
        <v>93.103448275862064</v>
      </c>
      <c r="E2">
        <f t="shared" si="2"/>
        <v>93.103448275862064</v>
      </c>
      <c r="F2">
        <f t="shared" ref="F2" si="3" xml:space="preserve"> SUM(F3:F4) / SUM(F3:F5) *100</f>
        <v>79.310344827586206</v>
      </c>
      <c r="G2">
        <f t="shared" si="2"/>
        <v>58.620689655172406</v>
      </c>
      <c r="H2">
        <f t="shared" si="2"/>
        <v>48.275862068965516</v>
      </c>
      <c r="J2" s="1" t="s">
        <v>13</v>
      </c>
      <c r="K2" s="10"/>
      <c r="L2" s="10"/>
      <c r="M2" s="10"/>
      <c r="Q2" s="1" t="s">
        <v>13</v>
      </c>
      <c r="R2" s="10"/>
      <c r="S2" s="10"/>
      <c r="T2" s="10"/>
    </row>
    <row r="3" spans="1:23" x14ac:dyDescent="0.35">
      <c r="A3" s="1" t="s">
        <v>242</v>
      </c>
      <c r="C3" s="2">
        <f>COUNTIF(C10:C38, 2)</f>
        <v>28</v>
      </c>
      <c r="D3" s="2">
        <f t="shared" ref="D3:H3" si="4">COUNTIF(D10:D38, 2)</f>
        <v>26</v>
      </c>
      <c r="E3" s="2">
        <f t="shared" si="4"/>
        <v>26</v>
      </c>
      <c r="F3" s="2">
        <f t="shared" si="4"/>
        <v>22</v>
      </c>
      <c r="G3" s="2">
        <f t="shared" si="4"/>
        <v>15</v>
      </c>
      <c r="H3" s="2">
        <f t="shared" si="4"/>
        <v>14</v>
      </c>
      <c r="J3" s="1" t="s">
        <v>14</v>
      </c>
      <c r="K3" s="10" cm="1">
        <f t="array" ref="K3">IFERROR(SUMPRODUCT((C10:C100&lt;&gt;"")*(D10:D100&lt;&gt;"")*(C10:C100=D10:D100))/SUMPRODUCT(--((C10:C100&lt;&gt;"")+(D10:D100&lt;&gt;"")&gt;0)),"")</f>
        <v>0.70731707317073167</v>
      </c>
      <c r="L3" s="10"/>
      <c r="M3" s="10"/>
      <c r="Q3" s="1" t="s">
        <v>14</v>
      </c>
      <c r="R3" s="10" cm="1">
        <f t="array" ref="R3">IFERROR(
   SUMPRODUCT((C10:C100&lt;&gt;"")*(D10:D100&lt;&gt;"")*
   ((C10:C100=D10:D100)+((C10:C100=1)*(D10:D100=2))+((C10:C100=2)*(D10:D100=1))))
   /
   SUMPRODUCT(--((C10:C100&lt;&gt;"")+(D10:D100&lt;&gt;"")&gt;0)),
"")</f>
        <v>0.73170731707317072</v>
      </c>
      <c r="S3" s="10"/>
      <c r="T3" s="10"/>
    </row>
    <row r="4" spans="1:23" x14ac:dyDescent="0.35">
      <c r="A4" s="1" t="s">
        <v>243</v>
      </c>
      <c r="C4">
        <f>COUNTIF(C10:C38, 1)</f>
        <v>0</v>
      </c>
      <c r="D4">
        <f t="shared" ref="D4:H4" si="5">COUNTIF(D10:D38, 1)</f>
        <v>1</v>
      </c>
      <c r="E4">
        <f t="shared" si="5"/>
        <v>1</v>
      </c>
      <c r="F4">
        <f t="shared" si="5"/>
        <v>1</v>
      </c>
      <c r="G4">
        <f t="shared" si="5"/>
        <v>2</v>
      </c>
      <c r="H4">
        <f t="shared" si="5"/>
        <v>0</v>
      </c>
      <c r="J4" s="1" t="s">
        <v>15</v>
      </c>
      <c r="K4" s="10" cm="1">
        <f t="array" ref="K4">IFERROR(SUMPRODUCT((C10:C100&lt;&gt;"")*(E10:E100&lt;&gt;"")*(C10:C100=E10:E100))/SUMPRODUCT(--((C10:C100&lt;&gt;"")+(E10:E100&lt;&gt;"")&gt;0)),"")</f>
        <v>0.7</v>
      </c>
      <c r="L4" s="10" cm="1">
        <f t="array" ref="L4">IFERROR(SUMPRODUCT((E10:E100&lt;&gt;"")*(D10:D100&lt;&gt;"")*(E10:E100=D10:D100))/SUMPRODUCT(--((E10:E100&lt;&gt;"")+(D10:D100&lt;&gt;"")&gt;0)),"")</f>
        <v>0.89189189189189189</v>
      </c>
      <c r="M4" s="10"/>
      <c r="Q4" s="1" t="s">
        <v>15</v>
      </c>
      <c r="R4" s="10" cm="1">
        <f t="array" ref="R4">IFERROR(
   SUMPRODUCT((C10:C100&lt;&gt;"")*(E10:E100&lt;&gt;"")*
   ((C10:C100=E10:E100)+((C10:C100=1)*(E10:E100=2))+((C10:C100=2)*(E10:E100=1))))
   /
   SUMPRODUCT(--((C10:C100&lt;&gt;"")+(E10:E100&lt;&gt;"")&gt;0)),
"")</f>
        <v>0.72499999999999998</v>
      </c>
      <c r="S4" s="10" cm="1">
        <f t="array" ref="S4">IFERROR(
   SUMPRODUCT((E10:E100&lt;&gt;"")*(D10:D100&lt;&gt;"")*
   ((E10:E100=D10:D100)+((E10:E100=1)*(D10:D100=2))+((E10:E100=2)*(D10:D100=1))))
   /
   SUMPRODUCT(--((E10:E100&lt;&gt;"")+(D10:D100&lt;&gt;"")&gt;0)),
"")</f>
        <v>0.89189189189189189</v>
      </c>
      <c r="T4" s="10"/>
    </row>
    <row r="5" spans="1:23" x14ac:dyDescent="0.35">
      <c r="A5" s="1" t="s">
        <v>244</v>
      </c>
      <c r="C5">
        <f>COUNTIF(C10:C38, 0)</f>
        <v>1</v>
      </c>
      <c r="D5">
        <f t="shared" ref="D5:H5" si="6">COUNTIF(D10:D38, 0)</f>
        <v>2</v>
      </c>
      <c r="E5">
        <f t="shared" si="6"/>
        <v>2</v>
      </c>
      <c r="F5">
        <f t="shared" si="6"/>
        <v>6</v>
      </c>
      <c r="G5">
        <f t="shared" si="6"/>
        <v>12</v>
      </c>
      <c r="H5">
        <f t="shared" si="6"/>
        <v>15</v>
      </c>
      <c r="J5" s="1" t="s">
        <v>16</v>
      </c>
      <c r="K5" s="11" cm="1">
        <f t="array" ref="K5">IFERROR(SUMPRODUCT((C10:C100&lt;&gt;"")*(F10:F100&lt;&gt;"")*(C10:C100=F10:F100))/SUMPRODUCT(--((C10:C100&lt;&gt;"")+(F10:F100&lt;&gt;"")&gt;0)),"")</f>
        <v>0.61538461538461542</v>
      </c>
      <c r="L5" s="11" cm="1">
        <f t="array" ref="L5">IFERROR(SUMPRODUCT((F10:F100&lt;&gt;"")*(D10:D100&lt;&gt;"")*(F10:F100=D10:D100))/SUMPRODUCT(--((F10:F100&lt;&gt;"")+(D10:D100&lt;&gt;"")&gt;0)),"")</f>
        <v>0.65789473684210531</v>
      </c>
      <c r="M5" s="11" cm="1">
        <f t="array" ref="M5">IFERROR(SUMPRODUCT((F10:F100&lt;&gt;"")*(E10:E100&lt;&gt;"")*(F10:F100=E10:E100))/SUMPRODUCT(--((F10:F100&lt;&gt;"")+(E10:E100&lt;&gt;"")&gt;0)),"")</f>
        <v>0.60526315789473684</v>
      </c>
      <c r="N5" s="10"/>
      <c r="O5" s="10"/>
      <c r="Q5" s="1" t="s">
        <v>16</v>
      </c>
      <c r="R5" s="11" cm="1">
        <f t="array" ref="R5">IFERROR(
   SUMPRODUCT((C10:C100&lt;&gt;"")*(F10:F100&lt;&gt;"")*
   ((C10:C100=F10:F100)+((C10:C100=1)*(F10:F100=2))+((C10:C100=2)*(F10:F100=1))))
   /
   SUMPRODUCT(--((C10:C100&lt;&gt;"")+(F10:F100&lt;&gt;"")&gt;0)),
"")</f>
        <v>0.64102564102564108</v>
      </c>
      <c r="S5" s="11" cm="1">
        <f t="array" ref="S5">IFERROR(
   SUMPRODUCT((F10:F100&lt;&gt;"")*(D10:D100&lt;&gt;"")*
   ((F10:F100=D10:D100)+((F10:F100=1)*(D10:D100=2))+((F10:F100=2)*(D10:D100=1))))
   /
   SUMPRODUCT(--((F10:F100&lt;&gt;"")+(D10:D100&lt;&gt;"")&gt;0)),
"")</f>
        <v>0.71052631578947367</v>
      </c>
      <c r="T5" s="11" cm="1">
        <f t="array" ref="T5">IFERROR(
   SUMPRODUCT((F10:F100&lt;&gt;"")*(E10:E100&lt;&gt;"")*
   ((F10:F100=E10:E100)+((F10:F100=1)*(E10:E100=2))+((F10:F100=2)*(E10:E100=1))))
   /
   SUMPRODUCT(--((F10:F100&lt;&gt;"")+(E10:E100&lt;&gt;"")&gt;0)),
"")</f>
        <v>0.65789473684210531</v>
      </c>
      <c r="U5" s="10"/>
      <c r="V5" s="10"/>
    </row>
    <row r="6" spans="1:23" x14ac:dyDescent="0.35">
      <c r="A6" s="1" t="s">
        <v>245</v>
      </c>
      <c r="C6">
        <f t="shared" ref="C6:H6" si="7">COUNTIF(C40:C72,0) + COUNTIF(C40:C72,1)</f>
        <v>7</v>
      </c>
      <c r="D6">
        <f t="shared" si="7"/>
        <v>7</v>
      </c>
      <c r="E6">
        <f t="shared" si="7"/>
        <v>5</v>
      </c>
      <c r="F6">
        <f t="shared" ref="F6" si="8">COUNTIF(F40:F72,0) + COUNTIF(F40:F72,1)</f>
        <v>4</v>
      </c>
      <c r="G6">
        <f t="shared" si="7"/>
        <v>5</v>
      </c>
      <c r="H6">
        <f t="shared" si="7"/>
        <v>3</v>
      </c>
      <c r="J6" s="1" t="s">
        <v>17</v>
      </c>
      <c r="K6" s="11" cm="1">
        <f t="array" ref="K6">IFERROR(SUMPRODUCT((C10:C100&lt;&gt;"")*(G10:G100&lt;&gt;"")*(C10:C100=G10:G100))/SUMPRODUCT(--((C10:C100&lt;&gt;"")+(G10:G100&lt;&gt;"")&gt;0)),"")</f>
        <v>0.46153846153846156</v>
      </c>
      <c r="L6" s="11" cm="1">
        <f t="array" ref="L6">SUMPRODUCT((D10:D100&lt;&gt;0)*(G10:G100&lt;&gt;0)) / SUMPRODUCT(((D10:D100&lt;&gt;0)+(G10:G100&lt;&gt;0)&gt;0)*1)</f>
        <v>0.52777777777777779</v>
      </c>
      <c r="M6" s="11" cm="1">
        <f t="array" ref="M6">IFERROR(SUMPRODUCT((G10:G100&lt;&gt;"")*(E10:E100&lt;&gt;"")*(G10:G100=E10:E100))/SUMPRODUCT(--((G10:G100&lt;&gt;"")+(E10:E100&lt;&gt;"")&gt;0)),"")</f>
        <v>0.48648648648648651</v>
      </c>
      <c r="N6" s="10" cm="1">
        <f t="array" ref="N6">IFERROR(SUMPRODUCT((G10:G100&lt;&gt;"")*(F10:F100&lt;&gt;"")*(G10:G100=F10:F100))/SUMPRODUCT(--((G10:G100&lt;&gt;"")+(F10:F100&lt;&gt;"")&gt;0)),"")</f>
        <v>0.66666666666666663</v>
      </c>
      <c r="O6" s="10"/>
      <c r="Q6" s="1" t="s">
        <v>17</v>
      </c>
      <c r="R6" s="11" cm="1">
        <f t="array" ref="R6">IFERROR(
   SUMPRODUCT((C10:C100&lt;&gt;"")*(G10:G100&lt;&gt;"")*
   ((C10:C100=G10:G100)+((C10:C100=1)*(G10:G100=2))+((C10:C100=2)*(G10:G100=1))))
   /
   SUMPRODUCT(--((C10:C100&lt;&gt;"")+(G10:G100&lt;&gt;"")&gt;0)),
"")</f>
        <v>0.51282051282051277</v>
      </c>
      <c r="S6" s="11" cm="1">
        <f t="array" ref="S6">IFERROR(
   SUMPRODUCT((D10:D100&lt;&gt;"")*(G10:G100&lt;&gt;"")*
   ((D10:D100=G10:G100)+((D10:D100=1)*(G10:G100=2))+((D10:D100=2)*(G10:G100=1))))
   /
   SUMPRODUCT(--((D10:D100&lt;&gt;"")+(G10:G100&lt;&gt;"")&gt;0)),
"")</f>
        <v>0.53846153846153844</v>
      </c>
      <c r="T6" s="11" cm="1">
        <f t="array" ref="T6">IFERROR(
   SUMPRODUCT((G10:G100&lt;&gt;"")*(E10:E100&lt;&gt;"")*
   ((G10:G100=E10:E100)+((G10:G100=1)*(E10:E100=2))+((G10:G100=2)*(E10:E100=1))))
   /
   SUMPRODUCT(--((G10:G100&lt;&gt;"")+(E10:E100&lt;&gt;"")&gt;0)),
"")</f>
        <v>0.56756756756756754</v>
      </c>
      <c r="U6" s="10" cm="1">
        <f t="array" ref="U6">IFERROR(
   SUMPRODUCT((F10:F100&lt;&gt;"")*(G10:G100&lt;&gt;"")*
   ((F10:F100=G10:G100)+((F10:F100=1)*(G10:G100=2))+((F10:F100=2)*(G10:G100=1))))
   /
   SUMPRODUCT(--((F10:F100&lt;&gt;"")+(G10:G100&lt;&gt;"")&gt;0)),
"")</f>
        <v>0.69444444444444442</v>
      </c>
      <c r="V6" s="10"/>
    </row>
    <row r="7" spans="1:23" x14ac:dyDescent="0.35">
      <c r="A7" s="1" t="s">
        <v>246</v>
      </c>
      <c r="C7">
        <f t="shared" ref="C7:H7" si="9">COUNTIF(C40:C72,0)</f>
        <v>2</v>
      </c>
      <c r="D7">
        <f t="shared" si="9"/>
        <v>0</v>
      </c>
      <c r="E7">
        <f t="shared" si="9"/>
        <v>0</v>
      </c>
      <c r="F7">
        <f t="shared" ref="F7" si="10">COUNTIF(F40:F72,0)</f>
        <v>0</v>
      </c>
      <c r="G7">
        <f t="shared" si="9"/>
        <v>1</v>
      </c>
      <c r="H7">
        <f t="shared" si="9"/>
        <v>0</v>
      </c>
      <c r="J7" s="1" t="s">
        <v>18</v>
      </c>
      <c r="K7" s="11" cm="1">
        <f t="array" ref="K7">IFERROR(SUMPRODUCT((C10:C100&lt;&gt;"")*(H10:H100&lt;&gt;"")*(C10:C100=H10:H100))/SUMPRODUCT(--((C10:C100&lt;&gt;"")+(H10:H100&lt;&gt;"")&gt;0)),"")</f>
        <v>0.42105263157894735</v>
      </c>
      <c r="L7" s="11" cm="1">
        <f t="array" ref="L7">IFERROR(SUMPRODUCT((H10:H100&lt;&gt;"")*(D10:D100&lt;&gt;"")*(H10:H100=D10:D100))/SUMPRODUCT(--((H10:H100&lt;&gt;"")+(D10:D100&lt;&gt;"")&gt;0)),"")</f>
        <v>0.45945945945945948</v>
      </c>
      <c r="M7" s="11" cm="1">
        <f t="array" ref="M7">IFERROR(SUMPRODUCT((H10:H100&lt;&gt;"")*(E10:E100&lt;&gt;"")*(H10:H100=E10:E100))/SUMPRODUCT(--((H10:H100&lt;&gt;"")+(E10:E100&lt;&gt;"")&gt;0)),"")</f>
        <v>0.44444444444444442</v>
      </c>
      <c r="N7" s="10" cm="1">
        <f t="array" ref="N7">IFERROR(SUMPRODUCT((F10:F100&lt;&gt;"")*(H10:H100&lt;&gt;"")*(F10:F100=H10:H100))/SUMPRODUCT(--((F10:F100&lt;&gt;"")+(H10:H100&lt;&gt;"")&gt;0)),"")</f>
        <v>0.6470588235294118</v>
      </c>
      <c r="O7" s="10" cm="1">
        <f t="array" ref="O7">IFERROR(SUMPRODUCT((G10:G100&lt;&gt;"")*(H10:H100&lt;&gt;"")*(G10:G100=H10:H100))/SUMPRODUCT(--((G10:G100&lt;&gt;"")+(H10:H100&lt;&gt;"")&gt;0)),"")</f>
        <v>0.8</v>
      </c>
      <c r="Q7" s="1" t="s">
        <v>18</v>
      </c>
      <c r="R7" s="11" cm="1">
        <f t="array" ref="R7">IFERROR(
   SUMPRODUCT((C10:C100&lt;&gt;"")*(H10:H100&lt;&gt;"")*
   ((C10:C100=H10:H100)+((C10:C100=1)*(H10:H100=2))+((C10:C100=2)*(H10:H100=1))))
   /
   SUMPRODUCT(--((C10:C100&lt;&gt;"")+(H10:H100&lt;&gt;"")&gt;0)),
"")</f>
        <v>0.42105263157894735</v>
      </c>
      <c r="S7" s="11" cm="1">
        <f t="array" ref="S7">IFERROR(
   SUMPRODUCT((H10:H100&lt;&gt;"")*(D10:D100&lt;&gt;"")*
   ((H10:H100=D10:D100)+((H10:H100=1)*(D10:D100=2))+((H10:H100=2)*(D10:D100=1))))
   /
   SUMPRODUCT(--((H10:H100&lt;&gt;"")+(D10:D100&lt;&gt;"")&gt;0)),
"")</f>
        <v>0.48648648648648651</v>
      </c>
      <c r="T7" s="11" cm="1">
        <f t="array" ref="T7">IFERROR(
   SUMPRODUCT((H10:H100&lt;&gt;"")*(E10:E100&lt;&gt;"")*
   ((H10:H100=E10:E100)+((H10:H100=1)*(E10:E100=2))+((H10:H100=2)*(E10:E100=1))))
   /
   SUMPRODUCT(--((H10:H100&lt;&gt;"")+(E10:E100&lt;&gt;"")&gt;0)),
"")</f>
        <v>0.47222222222222221</v>
      </c>
      <c r="U7" s="10" cm="1">
        <f t="array" ref="U7">IFERROR(
   SUMPRODUCT((F10:F100&lt;&gt;"")*(H10:H100&lt;&gt;"")*
   ((F10:F100=H10:H100)+((F10:F100=1)*(H10:H100=2))+((F10:F100=2)*(H10:H100=1))))
   /
   SUMPRODUCT(--((F10:F100&lt;&gt;"")+(H10:H100&lt;&gt;"")&gt;0)),
"")</f>
        <v>0.6470588235294118</v>
      </c>
      <c r="V7" s="10" cm="1">
        <f t="array" ref="V7">IFERROR(
   SUMPRODUCT((H10:H100&lt;&gt;"")*(G10:G100&lt;&gt;"")*
   ((H10:H100=G10:G100)+((H10:H100=1)*(G10:G100=2))+((H10:H100=2)*(G10:G100=1))))
   /
   SUMPRODUCT(--((H10:H100&lt;&gt;"")+(G10:G100&lt;&gt;"")&gt;0)),
"")</f>
        <v>0.8</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461</v>
      </c>
      <c r="B10" s="2" t="s">
        <v>426</v>
      </c>
      <c r="C10">
        <v>2</v>
      </c>
      <c r="D10">
        <v>2</v>
      </c>
      <c r="E10">
        <v>2</v>
      </c>
      <c r="F10">
        <v>0</v>
      </c>
      <c r="G10">
        <v>0</v>
      </c>
      <c r="H10">
        <v>0</v>
      </c>
    </row>
    <row r="11" spans="1:23" x14ac:dyDescent="0.35">
      <c r="A11" s="1"/>
      <c r="B11" s="2" t="s">
        <v>427</v>
      </c>
      <c r="C11">
        <v>2</v>
      </c>
      <c r="D11">
        <v>2</v>
      </c>
      <c r="E11">
        <v>2</v>
      </c>
      <c r="F11">
        <v>0</v>
      </c>
      <c r="G11">
        <v>0</v>
      </c>
      <c r="H11">
        <v>0</v>
      </c>
    </row>
    <row r="12" spans="1:23" x14ac:dyDescent="0.35">
      <c r="A12" s="1"/>
      <c r="B12" s="2" t="s">
        <v>462</v>
      </c>
      <c r="C12">
        <v>2</v>
      </c>
      <c r="D12">
        <v>2</v>
      </c>
      <c r="E12">
        <v>2</v>
      </c>
      <c r="F12">
        <v>2</v>
      </c>
      <c r="G12">
        <v>0</v>
      </c>
      <c r="H12">
        <v>0</v>
      </c>
    </row>
    <row r="13" spans="1:23" x14ac:dyDescent="0.35">
      <c r="A13" s="1"/>
      <c r="B13" s="2" t="s">
        <v>436</v>
      </c>
      <c r="C13">
        <v>2</v>
      </c>
      <c r="D13">
        <v>2</v>
      </c>
      <c r="E13">
        <v>2</v>
      </c>
      <c r="F13">
        <v>2</v>
      </c>
      <c r="G13">
        <v>0</v>
      </c>
      <c r="H13">
        <v>0</v>
      </c>
    </row>
    <row r="14" spans="1:23" x14ac:dyDescent="0.35">
      <c r="A14" s="1"/>
      <c r="B14" s="2" t="s">
        <v>460</v>
      </c>
      <c r="C14">
        <v>2</v>
      </c>
      <c r="D14">
        <v>2</v>
      </c>
      <c r="E14">
        <v>2</v>
      </c>
      <c r="F14">
        <v>0</v>
      </c>
      <c r="G14">
        <v>0</v>
      </c>
      <c r="H14">
        <v>0</v>
      </c>
    </row>
    <row r="15" spans="1:23" x14ac:dyDescent="0.35">
      <c r="A15" s="1"/>
      <c r="B15" s="2" t="s">
        <v>451</v>
      </c>
      <c r="C15">
        <v>2</v>
      </c>
      <c r="D15">
        <v>0</v>
      </c>
      <c r="E15">
        <v>0</v>
      </c>
      <c r="F15">
        <v>0</v>
      </c>
      <c r="G15">
        <v>0</v>
      </c>
      <c r="H15">
        <v>0</v>
      </c>
    </row>
    <row r="16" spans="1:23" x14ac:dyDescent="0.35">
      <c r="A16" s="1" t="s">
        <v>6</v>
      </c>
      <c r="B16" s="2" t="s">
        <v>428</v>
      </c>
      <c r="C16">
        <v>2</v>
      </c>
      <c r="D16">
        <v>2</v>
      </c>
      <c r="E16">
        <v>2</v>
      </c>
      <c r="F16">
        <v>2</v>
      </c>
      <c r="G16">
        <v>2</v>
      </c>
      <c r="H16">
        <v>2</v>
      </c>
    </row>
    <row r="17" spans="1:8" x14ac:dyDescent="0.35">
      <c r="A17" s="1"/>
      <c r="B17" s="2" t="s">
        <v>430</v>
      </c>
      <c r="C17">
        <v>2</v>
      </c>
      <c r="D17">
        <v>2</v>
      </c>
      <c r="E17">
        <v>2</v>
      </c>
      <c r="F17">
        <v>0</v>
      </c>
      <c r="G17">
        <v>0</v>
      </c>
      <c r="H17">
        <v>0</v>
      </c>
    </row>
    <row r="18" spans="1:8" ht="29" x14ac:dyDescent="0.35">
      <c r="A18" s="1"/>
      <c r="B18" s="2" t="s">
        <v>429</v>
      </c>
      <c r="C18">
        <v>2</v>
      </c>
      <c r="D18">
        <v>2</v>
      </c>
      <c r="E18">
        <v>2</v>
      </c>
      <c r="F18">
        <v>2</v>
      </c>
      <c r="G18">
        <v>2</v>
      </c>
      <c r="H18">
        <v>0</v>
      </c>
    </row>
    <row r="19" spans="1:8" x14ac:dyDescent="0.35">
      <c r="A19" s="1"/>
      <c r="B19" s="2" t="s">
        <v>431</v>
      </c>
      <c r="C19">
        <v>2</v>
      </c>
      <c r="D19">
        <v>2</v>
      </c>
      <c r="E19">
        <v>2</v>
      </c>
      <c r="F19">
        <v>2</v>
      </c>
      <c r="G19">
        <v>2</v>
      </c>
      <c r="H19">
        <v>2</v>
      </c>
    </row>
    <row r="20" spans="1:8" x14ac:dyDescent="0.35">
      <c r="A20" s="1"/>
      <c r="B20" s="2" t="s">
        <v>432</v>
      </c>
      <c r="C20">
        <v>2</v>
      </c>
      <c r="D20">
        <v>2</v>
      </c>
      <c r="E20">
        <v>2</v>
      </c>
      <c r="F20">
        <v>2</v>
      </c>
      <c r="G20">
        <v>2</v>
      </c>
      <c r="H20">
        <v>2</v>
      </c>
    </row>
    <row r="21" spans="1:8" x14ac:dyDescent="0.35">
      <c r="A21" s="1"/>
      <c r="B21" s="2" t="s">
        <v>433</v>
      </c>
      <c r="C21">
        <v>2</v>
      </c>
      <c r="D21">
        <v>2</v>
      </c>
      <c r="E21">
        <v>2</v>
      </c>
      <c r="F21">
        <v>2</v>
      </c>
      <c r="G21">
        <v>2</v>
      </c>
      <c r="H21">
        <v>2</v>
      </c>
    </row>
    <row r="22" spans="1:8" x14ac:dyDescent="0.35">
      <c r="A22" s="1"/>
      <c r="B22" s="2" t="s">
        <v>435</v>
      </c>
      <c r="C22">
        <v>2</v>
      </c>
      <c r="D22">
        <v>2</v>
      </c>
      <c r="E22">
        <v>2</v>
      </c>
      <c r="F22">
        <v>2</v>
      </c>
      <c r="G22">
        <v>2</v>
      </c>
      <c r="H22">
        <v>2</v>
      </c>
    </row>
    <row r="23" spans="1:8" x14ac:dyDescent="0.35">
      <c r="A23" s="1"/>
      <c r="B23" s="2" t="s">
        <v>437</v>
      </c>
      <c r="C23">
        <v>2</v>
      </c>
      <c r="D23">
        <v>2</v>
      </c>
      <c r="E23">
        <v>2</v>
      </c>
      <c r="F23">
        <v>2</v>
      </c>
      <c r="G23">
        <v>2</v>
      </c>
      <c r="H23">
        <v>2</v>
      </c>
    </row>
    <row r="24" spans="1:8" ht="29" x14ac:dyDescent="0.35">
      <c r="B24" s="2" t="s">
        <v>438</v>
      </c>
      <c r="C24">
        <v>2</v>
      </c>
      <c r="D24">
        <v>2</v>
      </c>
      <c r="E24">
        <v>2</v>
      </c>
      <c r="F24">
        <v>2</v>
      </c>
      <c r="G24">
        <v>2</v>
      </c>
      <c r="H24">
        <v>2</v>
      </c>
    </row>
    <row r="25" spans="1:8" x14ac:dyDescent="0.35">
      <c r="B25" s="2" t="s">
        <v>443</v>
      </c>
      <c r="C25">
        <v>2</v>
      </c>
      <c r="D25">
        <v>2</v>
      </c>
      <c r="E25">
        <v>2</v>
      </c>
      <c r="F25">
        <v>2</v>
      </c>
      <c r="G25">
        <v>2</v>
      </c>
      <c r="H25">
        <v>2</v>
      </c>
    </row>
    <row r="26" spans="1:8" x14ac:dyDescent="0.35">
      <c r="B26" s="2" t="s">
        <v>442</v>
      </c>
      <c r="C26">
        <v>2</v>
      </c>
      <c r="D26">
        <v>2</v>
      </c>
      <c r="E26">
        <v>2</v>
      </c>
      <c r="F26">
        <v>2</v>
      </c>
      <c r="G26">
        <v>2</v>
      </c>
      <c r="H26">
        <v>2</v>
      </c>
    </row>
    <row r="27" spans="1:8" ht="29" x14ac:dyDescent="0.35">
      <c r="B27" s="2" t="s">
        <v>444</v>
      </c>
      <c r="C27">
        <v>2</v>
      </c>
      <c r="D27">
        <v>2</v>
      </c>
      <c r="E27">
        <v>2</v>
      </c>
      <c r="F27">
        <v>2</v>
      </c>
      <c r="G27">
        <v>2</v>
      </c>
      <c r="H27">
        <v>2</v>
      </c>
    </row>
    <row r="28" spans="1:8" x14ac:dyDescent="0.35">
      <c r="B28" s="2" t="s">
        <v>454</v>
      </c>
      <c r="C28">
        <v>0</v>
      </c>
      <c r="D28">
        <v>0</v>
      </c>
      <c r="E28">
        <v>0</v>
      </c>
      <c r="F28">
        <v>0</v>
      </c>
      <c r="G28">
        <v>0</v>
      </c>
      <c r="H28">
        <v>0</v>
      </c>
    </row>
    <row r="29" spans="1:8" x14ac:dyDescent="0.35">
      <c r="B29" s="2" t="s">
        <v>445</v>
      </c>
      <c r="C29">
        <v>2</v>
      </c>
      <c r="D29">
        <v>2</v>
      </c>
      <c r="E29">
        <v>2</v>
      </c>
      <c r="F29">
        <v>2</v>
      </c>
      <c r="G29">
        <v>0</v>
      </c>
      <c r="H29">
        <v>0</v>
      </c>
    </row>
    <row r="30" spans="1:8" x14ac:dyDescent="0.35">
      <c r="B30" s="2" t="s">
        <v>447</v>
      </c>
      <c r="C30">
        <v>2</v>
      </c>
      <c r="D30">
        <v>2</v>
      </c>
      <c r="E30">
        <v>2</v>
      </c>
      <c r="F30">
        <v>2</v>
      </c>
      <c r="G30">
        <v>2</v>
      </c>
      <c r="H30">
        <v>2</v>
      </c>
    </row>
    <row r="31" spans="1:8" x14ac:dyDescent="0.35">
      <c r="B31" s="2" t="s">
        <v>446</v>
      </c>
      <c r="C31">
        <v>2</v>
      </c>
      <c r="D31">
        <v>2</v>
      </c>
      <c r="E31">
        <v>2</v>
      </c>
      <c r="F31">
        <v>2</v>
      </c>
      <c r="G31">
        <v>2</v>
      </c>
      <c r="H31">
        <v>2</v>
      </c>
    </row>
    <row r="32" spans="1:8" x14ac:dyDescent="0.35">
      <c r="A32" s="1" t="s">
        <v>284</v>
      </c>
      <c r="B32" s="2" t="s">
        <v>439</v>
      </c>
      <c r="C32">
        <v>2</v>
      </c>
      <c r="D32">
        <v>2</v>
      </c>
      <c r="E32">
        <v>2</v>
      </c>
      <c r="F32">
        <v>2</v>
      </c>
      <c r="G32">
        <v>2</v>
      </c>
      <c r="H32">
        <v>2</v>
      </c>
    </row>
    <row r="33" spans="1:9" x14ac:dyDescent="0.35">
      <c r="A33" s="1"/>
      <c r="B33" s="2" t="s">
        <v>463</v>
      </c>
      <c r="C33">
        <v>2</v>
      </c>
      <c r="D33">
        <v>2</v>
      </c>
      <c r="E33">
        <v>2</v>
      </c>
      <c r="F33">
        <v>2</v>
      </c>
      <c r="G33">
        <v>0</v>
      </c>
      <c r="H33">
        <v>0</v>
      </c>
    </row>
    <row r="34" spans="1:9" x14ac:dyDescent="0.35">
      <c r="A34" s="1" t="s">
        <v>395</v>
      </c>
      <c r="B34" s="2" t="s">
        <v>440</v>
      </c>
      <c r="C34">
        <v>2</v>
      </c>
      <c r="D34">
        <v>1</v>
      </c>
      <c r="E34">
        <v>1</v>
      </c>
      <c r="F34">
        <v>2</v>
      </c>
      <c r="G34">
        <v>2</v>
      </c>
      <c r="H34">
        <v>2</v>
      </c>
    </row>
    <row r="35" spans="1:9" x14ac:dyDescent="0.35">
      <c r="A35" s="1"/>
      <c r="B35" s="2" t="s">
        <v>448</v>
      </c>
      <c r="C35">
        <v>2</v>
      </c>
      <c r="D35">
        <v>2</v>
      </c>
      <c r="E35">
        <v>2</v>
      </c>
      <c r="F35">
        <v>2</v>
      </c>
      <c r="G35">
        <v>0</v>
      </c>
      <c r="H35">
        <v>0</v>
      </c>
    </row>
    <row r="36" spans="1:9" x14ac:dyDescent="0.35">
      <c r="A36" s="1"/>
      <c r="B36" s="2" t="s">
        <v>449</v>
      </c>
      <c r="C36">
        <v>2</v>
      </c>
      <c r="D36">
        <v>2</v>
      </c>
      <c r="E36">
        <v>2</v>
      </c>
      <c r="F36">
        <v>2</v>
      </c>
      <c r="G36">
        <v>0</v>
      </c>
      <c r="H36">
        <v>0</v>
      </c>
    </row>
    <row r="37" spans="1:9" x14ac:dyDescent="0.35">
      <c r="A37" s="1"/>
      <c r="B37" s="2" t="s">
        <v>450</v>
      </c>
      <c r="C37">
        <v>2</v>
      </c>
      <c r="D37">
        <v>2</v>
      </c>
      <c r="E37">
        <v>2</v>
      </c>
      <c r="F37">
        <v>1</v>
      </c>
      <c r="G37">
        <v>1</v>
      </c>
      <c r="H37">
        <v>0</v>
      </c>
    </row>
    <row r="38" spans="1:9" x14ac:dyDescent="0.35">
      <c r="A38" s="1"/>
      <c r="B38" s="2" t="s">
        <v>441</v>
      </c>
      <c r="C38">
        <v>2</v>
      </c>
      <c r="D38">
        <v>2</v>
      </c>
      <c r="E38">
        <v>2</v>
      </c>
      <c r="F38">
        <v>2</v>
      </c>
      <c r="G38">
        <v>1</v>
      </c>
      <c r="H38">
        <v>0</v>
      </c>
    </row>
    <row r="39" spans="1:9" s="3" customFormat="1" x14ac:dyDescent="0.35">
      <c r="F39" s="4"/>
      <c r="G39" s="4"/>
      <c r="H39" s="4"/>
      <c r="I39" s="4"/>
    </row>
    <row r="40" spans="1:9" x14ac:dyDescent="0.35">
      <c r="B40" s="2" t="s">
        <v>434</v>
      </c>
      <c r="C40">
        <v>1</v>
      </c>
    </row>
    <row r="41" spans="1:9" ht="29" x14ac:dyDescent="0.35">
      <c r="B41" s="2" t="s">
        <v>452</v>
      </c>
      <c r="C41">
        <v>0</v>
      </c>
    </row>
    <row r="42" spans="1:9" ht="29" x14ac:dyDescent="0.35">
      <c r="B42" s="2" t="s">
        <v>456</v>
      </c>
      <c r="C42">
        <v>0</v>
      </c>
    </row>
    <row r="43" spans="1:9" ht="29" x14ac:dyDescent="0.35">
      <c r="B43" s="2" t="s">
        <v>457</v>
      </c>
      <c r="C43">
        <v>1</v>
      </c>
    </row>
    <row r="44" spans="1:9" ht="29" x14ac:dyDescent="0.35">
      <c r="B44" s="2" t="s">
        <v>453</v>
      </c>
      <c r="C44">
        <v>1</v>
      </c>
      <c r="D44">
        <v>1</v>
      </c>
      <c r="F44">
        <v>1</v>
      </c>
      <c r="G44">
        <v>1</v>
      </c>
      <c r="H44">
        <v>1</v>
      </c>
    </row>
    <row r="45" spans="1:9" x14ac:dyDescent="0.35">
      <c r="B45" s="2" t="s">
        <v>455</v>
      </c>
      <c r="C45">
        <v>1</v>
      </c>
    </row>
    <row r="46" spans="1:9" x14ac:dyDescent="0.35">
      <c r="B46" s="2" t="s">
        <v>458</v>
      </c>
      <c r="C46">
        <v>1</v>
      </c>
      <c r="D46">
        <v>1</v>
      </c>
      <c r="E46">
        <v>1</v>
      </c>
      <c r="G46">
        <v>1</v>
      </c>
    </row>
    <row r="47" spans="1:9" x14ac:dyDescent="0.35">
      <c r="B47" s="2" t="s">
        <v>459</v>
      </c>
      <c r="D47">
        <v>1</v>
      </c>
      <c r="F47">
        <v>1</v>
      </c>
      <c r="H47">
        <v>1</v>
      </c>
    </row>
    <row r="48" spans="1:9" x14ac:dyDescent="0.35">
      <c r="B48" s="2" t="s">
        <v>464</v>
      </c>
      <c r="F48">
        <v>1</v>
      </c>
    </row>
    <row r="49" spans="2:8" x14ac:dyDescent="0.35">
      <c r="B49" s="2" t="s">
        <v>465</v>
      </c>
      <c r="F49">
        <v>1</v>
      </c>
      <c r="G49">
        <v>1</v>
      </c>
    </row>
    <row r="50" spans="2:8" x14ac:dyDescent="0.35">
      <c r="B50" s="2" t="s">
        <v>466</v>
      </c>
      <c r="G50">
        <v>0</v>
      </c>
    </row>
    <row r="51" spans="2:8" x14ac:dyDescent="0.35">
      <c r="B51" s="2" t="s">
        <v>467</v>
      </c>
      <c r="E51">
        <v>1</v>
      </c>
      <c r="G51">
        <v>1</v>
      </c>
      <c r="H51">
        <v>1</v>
      </c>
    </row>
    <row r="52" spans="2:8" x14ac:dyDescent="0.35">
      <c r="B52" s="2" t="s">
        <v>468</v>
      </c>
      <c r="D52">
        <v>1</v>
      </c>
      <c r="E52">
        <v>1</v>
      </c>
    </row>
    <row r="53" spans="2:8" x14ac:dyDescent="0.35">
      <c r="B53" s="2" t="s">
        <v>469</v>
      </c>
      <c r="D53">
        <v>1</v>
      </c>
    </row>
    <row r="54" spans="2:8" x14ac:dyDescent="0.35">
      <c r="B54" s="2" t="s">
        <v>31</v>
      </c>
      <c r="D54">
        <v>1</v>
      </c>
      <c r="E54">
        <v>1</v>
      </c>
    </row>
    <row r="55" spans="2:8" x14ac:dyDescent="0.35">
      <c r="B55" s="2" t="s">
        <v>470</v>
      </c>
      <c r="D55">
        <v>1</v>
      </c>
      <c r="E55">
        <v>1</v>
      </c>
    </row>
    <row r="73" spans="2:2" x14ac:dyDescent="0.35">
      <c r="B73" s="6"/>
    </row>
    <row r="79" spans="2:2" ht="15.5" x14ac:dyDescent="0.35">
      <c r="B79" s="8"/>
    </row>
    <row r="80" spans="2:2" ht="15.5" x14ac:dyDescent="0.35">
      <c r="B80" s="9"/>
    </row>
    <row r="81" spans="2:2" ht="15.5" x14ac:dyDescent="0.35">
      <c r="B81" s="8"/>
    </row>
    <row r="82" spans="2:2" ht="15.5" x14ac:dyDescent="0.35">
      <c r="B82" s="8"/>
    </row>
    <row r="83" spans="2:2" ht="15.5" x14ac:dyDescent="0.35">
      <c r="B83" s="9"/>
    </row>
    <row r="84" spans="2:2" ht="15.5" x14ac:dyDescent="0.35">
      <c r="B84" s="9"/>
    </row>
    <row r="85" spans="2:2" ht="15.5" x14ac:dyDescent="0.35">
      <c r="B85" s="8"/>
    </row>
    <row r="86" spans="2:2" x14ac:dyDescent="0.35">
      <c r="B86" s="6"/>
    </row>
  </sheetData>
  <conditionalFormatting sqref="C59:I65 C58:F58 H58:I58 G66 H67:H72 C39:I57 C10:C38 F10:I38">
    <cfRule type="iconSet" priority="5">
      <iconSet iconSet="3Symbols">
        <cfvo type="percent" val="0"/>
        <cfvo type="num" val="1"/>
        <cfvo type="num" val="2"/>
      </iconSet>
    </cfRule>
  </conditionalFormatting>
  <conditionalFormatting sqref="D10:D38">
    <cfRule type="iconSet" priority="3">
      <iconSet iconSet="3Symbols">
        <cfvo type="percent" val="0"/>
        <cfvo type="num" val="1"/>
        <cfvo type="num" val="2"/>
      </iconSet>
    </cfRule>
  </conditionalFormatting>
  <conditionalFormatting sqref="E10:E15">
    <cfRule type="iconSet" priority="2">
      <iconSet iconSet="3Symbols">
        <cfvo type="percent" val="0"/>
        <cfvo type="num" val="1"/>
        <cfvo type="num" val="2"/>
      </iconSet>
    </cfRule>
  </conditionalFormatting>
  <conditionalFormatting sqref="E16:E38">
    <cfRule type="iconSet" priority="1">
      <iconSet iconSet="3Symbols">
        <cfvo type="percent" val="0"/>
        <cfvo type="num" val="1"/>
        <cfvo type="num" val="2"/>
      </iconSet>
    </cfRule>
  </conditionalFormatting>
  <conditionalFormatting sqref="F59:I59 F58 H58:I58 F40:I57">
    <cfRule type="iconSet" priority="4">
      <iconSet iconSet="3Symbols">
        <cfvo type="percent" val="0"/>
        <cfvo type="num" val="1"/>
        <cfvo type="num" val="2"/>
      </iconSet>
    </cfRule>
  </conditionalFormatting>
  <conditionalFormatting sqref="J24:J59 J10:J21">
    <cfRule type="iconSet" priority="567">
      <iconSet>
        <cfvo type="percent" val="0"/>
        <cfvo type="num" val="1"/>
        <cfvo type="num" val="2"/>
      </iconSet>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24C67-720C-4372-81E7-FB55665C634A}">
  <dimension ref="A1:W72"/>
  <sheetViews>
    <sheetView zoomScale="80" zoomScaleNormal="80" workbookViewId="0">
      <selection activeCell="D4" sqref="D4:H5"/>
    </sheetView>
  </sheetViews>
  <sheetFormatPr defaultRowHeight="14.5" x14ac:dyDescent="0.35"/>
  <cols>
    <col min="1" max="1" width="28" customWidth="1"/>
    <col min="2" max="2" width="35.453125" style="2" customWidth="1"/>
    <col min="3" max="8" width="15.453125" customWidth="1"/>
    <col min="10" max="10" width="12.54296875" customWidth="1"/>
    <col min="17" max="17" width="13.1796875" customWidth="1"/>
  </cols>
  <sheetData>
    <row r="1" spans="1:23" x14ac:dyDescent="0.35">
      <c r="A1" s="1" t="s">
        <v>352</v>
      </c>
      <c r="C1">
        <f xml:space="preserve"> SUM(C3:C4) / (C3+ C4+ C7) * 100</f>
        <v>100</v>
      </c>
      <c r="D1">
        <f xml:space="preserve"> SUM(D3:D4) / (D3+ D4+ D7) * 100</f>
        <v>85.714285714285708</v>
      </c>
      <c r="E1">
        <f t="shared" ref="E1:H1" si="0" xml:space="preserve"> SUM(E3:E4) / (E3+ E4+ E7) * 100</f>
        <v>100</v>
      </c>
      <c r="F1">
        <f t="shared" si="0"/>
        <v>75</v>
      </c>
      <c r="G1">
        <f t="shared" si="0"/>
        <v>92.307692307692307</v>
      </c>
      <c r="H1">
        <f t="shared" si="0"/>
        <v>100</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76.470588235294116</v>
      </c>
      <c r="D2">
        <f xml:space="preserve"> SUM(D3:D4) / SUM(D3:D5) *100</f>
        <v>70.588235294117652</v>
      </c>
      <c r="E2">
        <f t="shared" ref="E2:H2" si="1" xml:space="preserve"> SUM(E3:E4) / SUM(E3:E5) *100</f>
        <v>64.705882352941174</v>
      </c>
      <c r="F2">
        <f t="shared" si="1"/>
        <v>70.588235294117652</v>
      </c>
      <c r="G2">
        <f t="shared" si="1"/>
        <v>70.588235294117652</v>
      </c>
      <c r="H2">
        <f t="shared" si="1"/>
        <v>70.588235294117652</v>
      </c>
      <c r="J2" s="1" t="s">
        <v>13</v>
      </c>
      <c r="K2" s="10"/>
      <c r="L2" s="10"/>
      <c r="M2" s="10"/>
      <c r="Q2" s="1" t="s">
        <v>13</v>
      </c>
      <c r="R2" s="10"/>
      <c r="S2" s="10"/>
      <c r="T2" s="10"/>
    </row>
    <row r="3" spans="1:23" x14ac:dyDescent="0.35">
      <c r="A3" s="1" t="s">
        <v>242</v>
      </c>
      <c r="C3" s="2">
        <f>COUNTIF(C10:C26, 2)</f>
        <v>12</v>
      </c>
      <c r="D3" s="2">
        <f t="shared" ref="D3:H3" si="2">COUNTIF(D10:D26, 2)</f>
        <v>12</v>
      </c>
      <c r="E3" s="2">
        <f t="shared" si="2"/>
        <v>11</v>
      </c>
      <c r="F3" s="2">
        <f t="shared" si="2"/>
        <v>11</v>
      </c>
      <c r="G3" s="2">
        <f t="shared" si="2"/>
        <v>8</v>
      </c>
      <c r="H3" s="2">
        <f t="shared" si="2"/>
        <v>10</v>
      </c>
      <c r="J3" s="1" t="s">
        <v>14</v>
      </c>
      <c r="K3" s="10" cm="1">
        <f t="array" ref="K3">IFERROR(SUMPRODUCT((C10:C86&lt;&gt;"")*(D10:D86&lt;&gt;"")*(C10:C86=D10:D86))/SUMPRODUCT(--((C10:C86&lt;&gt;"")+(D10:D86&lt;&gt;"")&gt;0)),"")</f>
        <v>0.63636363636363635</v>
      </c>
      <c r="L3" s="10"/>
      <c r="M3" s="10"/>
      <c r="Q3" s="1" t="s">
        <v>14</v>
      </c>
      <c r="R3" s="10" cm="1">
        <f t="array" ref="R3">IFERROR(
   SUMPRODUCT((C10:C86&lt;&gt;"")*(D10:D86&lt;&gt;"")*
   ((C10:C86=D10:D86)+((C10:C86=1)*(D10:D86=2))+((C10:C86=2)*(D10:D86=1))))
   /
   SUMPRODUCT(--((C10:C86&lt;&gt;"")+(D10:D86&lt;&gt;"")&gt;0)),
"")</f>
        <v>0.63636363636363635</v>
      </c>
      <c r="S3" s="10"/>
      <c r="T3" s="10"/>
    </row>
    <row r="4" spans="1:23" x14ac:dyDescent="0.35">
      <c r="A4" s="1" t="s">
        <v>243</v>
      </c>
      <c r="C4">
        <f>COUNTIF(C10:C26, 1)</f>
        <v>1</v>
      </c>
      <c r="D4">
        <f t="shared" ref="D4:H4" si="3">COUNTIF(D10:D26, 1)</f>
        <v>0</v>
      </c>
      <c r="E4">
        <f t="shared" si="3"/>
        <v>0</v>
      </c>
      <c r="F4">
        <f t="shared" si="3"/>
        <v>1</v>
      </c>
      <c r="G4">
        <f t="shared" si="3"/>
        <v>4</v>
      </c>
      <c r="H4">
        <f t="shared" si="3"/>
        <v>2</v>
      </c>
      <c r="J4" s="1" t="s">
        <v>15</v>
      </c>
      <c r="K4" s="10" cm="1">
        <f t="array" ref="K4">IFERROR(SUMPRODUCT((C10:C86&lt;&gt;"")*(E10:E86&lt;&gt;"")*(C10:C86=E10:E86))/SUMPRODUCT(--((C10:C86&lt;&gt;"")+(E10:E86&lt;&gt;"")&gt;0)),"")</f>
        <v>0.51724137931034486</v>
      </c>
      <c r="L4" s="10" cm="1">
        <f t="array" ref="L4">IFERROR(SUMPRODUCT((E10:E86&lt;&gt;"")*(D10:D86&lt;&gt;"")*(E10:E86=D10:D86))/SUMPRODUCT(--((E10:E86&lt;&gt;"")+(D10:D86&lt;&gt;"")&gt;0)),"")</f>
        <v>0.42857142857142855</v>
      </c>
      <c r="M4" s="10"/>
      <c r="Q4" s="1" t="s">
        <v>15</v>
      </c>
      <c r="R4" s="10" cm="1">
        <f t="array" ref="R4">IFERROR(
   SUMPRODUCT((C10:C86&lt;&gt;"")*(E10:E86&lt;&gt;"")*
   ((C10:C86=E10:E86)+((C10:C86=1)*(E10:E86=2))+((C10:C86=2)*(E10:E86=1))))
   /
   SUMPRODUCT(--((C10:C86&lt;&gt;"")+(E10:E86&lt;&gt;"")&gt;0)),
"")</f>
        <v>0.51724137931034486</v>
      </c>
      <c r="S4" s="10" cm="1">
        <f t="array" ref="S4">IFERROR(
   SUMPRODUCT((E10:E86&lt;&gt;"")*(D10:D86&lt;&gt;"")*
   ((E10:E86=D10:D86)+((E10:E86=1)*(D10:D86=2))+((E10:E86=2)*(D10:D86=1))))
   /
   SUMPRODUCT(--((E10:E86&lt;&gt;"")+(D10:D86&lt;&gt;"")&gt;0)),
"")</f>
        <v>0.42857142857142855</v>
      </c>
      <c r="T4" s="10"/>
    </row>
    <row r="5" spans="1:23" x14ac:dyDescent="0.35">
      <c r="A5" s="1" t="s">
        <v>244</v>
      </c>
      <c r="C5">
        <f>COUNTIF(C10:C26, 0)</f>
        <v>4</v>
      </c>
      <c r="D5">
        <f t="shared" ref="D5:H5" si="4">COUNTIF(D10:D26, 0)</f>
        <v>5</v>
      </c>
      <c r="E5">
        <f t="shared" si="4"/>
        <v>6</v>
      </c>
      <c r="F5">
        <f t="shared" si="4"/>
        <v>5</v>
      </c>
      <c r="G5">
        <f t="shared" si="4"/>
        <v>5</v>
      </c>
      <c r="H5">
        <f t="shared" si="4"/>
        <v>5</v>
      </c>
      <c r="J5" s="1" t="s">
        <v>16</v>
      </c>
      <c r="K5" s="11" cm="1">
        <f t="array" ref="K5">IFERROR(SUMPRODUCT((C10:C86&lt;&gt;"")*(F10:F86&lt;&gt;"")*(C10:C86=F10:F86))/SUMPRODUCT(--((C10:C86&lt;&gt;"")+(F10:F86&lt;&gt;"")&gt;0)),"")</f>
        <v>0.53125</v>
      </c>
      <c r="L5" s="11" cm="1">
        <f t="array" ref="L5">IFERROR(SUMPRODUCT((F10:F86&lt;&gt;"")*(D10:D86&lt;&gt;"")*(F10:F86=D10:D86))/SUMPRODUCT(--((F10:F86&lt;&gt;"")+(D10:D86&lt;&gt;"")&gt;0)),"")</f>
        <v>0.5714285714285714</v>
      </c>
      <c r="M5" s="11" cm="1">
        <f t="array" ref="M5">IFERROR(SUMPRODUCT((F10:F86&lt;&gt;"")*(E10:E86&lt;&gt;"")*(F10:F86=E10:E86))/SUMPRODUCT(--((F10:F86&lt;&gt;"")+(E10:E86&lt;&gt;"")&gt;0)),"")</f>
        <v>0.36363636363636365</v>
      </c>
      <c r="N5" s="10"/>
      <c r="O5" s="10"/>
      <c r="Q5" s="1" t="s">
        <v>16</v>
      </c>
      <c r="R5" s="11" cm="1">
        <f t="array" ref="R5">IFERROR(
   SUMPRODUCT((C10:C86&lt;&gt;"")*(F10:F86&lt;&gt;"")*
   ((C10:C86=F10:F86)+((C10:C86=1)*(F10:F86=2))+((C10:C86=2)*(F10:F86=1))))
   /
   SUMPRODUCT(--((C10:C86&lt;&gt;"")+(F10:F86&lt;&gt;"")&gt;0)),
"")</f>
        <v>0.5625</v>
      </c>
      <c r="S5" s="11" cm="1">
        <f t="array" ref="S5">IFERROR(
   SUMPRODUCT((F10:F86&lt;&gt;"")*(D10:D86&lt;&gt;"")*
   ((F10:F86=D10:D86)+((F10:F86=1)*(D10:D86=2))+((F10:F86=2)*(D10:D86=1))))
   /
   SUMPRODUCT(--((F10:F86&lt;&gt;"")+(D10:D86&lt;&gt;"")&gt;0)),
"")</f>
        <v>0.6</v>
      </c>
      <c r="T5" s="11" cm="1">
        <f t="array" ref="T5">IFERROR(
   SUMPRODUCT((F10:F86&lt;&gt;"")*(E10:E86&lt;&gt;"")*
   ((F10:F86=E10:E86)+((F10:F86=1)*(E10:E86=2))+((F10:F86=2)*(E10:E86=1))))
   /
   SUMPRODUCT(--((F10:F86&lt;&gt;"")+(E10:E86&lt;&gt;"")&gt;0)),
"")</f>
        <v>0.39393939393939392</v>
      </c>
      <c r="U5" s="10"/>
      <c r="V5" s="10"/>
    </row>
    <row r="6" spans="1:23" x14ac:dyDescent="0.35">
      <c r="A6" s="1" t="s">
        <v>245</v>
      </c>
      <c r="C6">
        <f t="shared" ref="C6:H6" si="5">COUNTIF(C28:C59,0) + COUNTIF(C28:C59,1)</f>
        <v>8</v>
      </c>
      <c r="D6">
        <f t="shared" si="5"/>
        <v>13</v>
      </c>
      <c r="E6">
        <f t="shared" si="5"/>
        <v>8</v>
      </c>
      <c r="F6">
        <f t="shared" si="5"/>
        <v>9</v>
      </c>
      <c r="G6">
        <f t="shared" si="5"/>
        <v>9</v>
      </c>
      <c r="H6">
        <f t="shared" si="5"/>
        <v>12</v>
      </c>
      <c r="J6" s="1" t="s">
        <v>17</v>
      </c>
      <c r="K6" s="11" cm="1">
        <f t="array" ref="K6">IFERROR(SUMPRODUCT((C10:C86&lt;&gt;"")*(G10:G86&lt;&gt;"")*(C10:C86=G10:G86))/SUMPRODUCT(--((C10:C86&lt;&gt;"")+(G10:G86&lt;&gt;"")&gt;0)),"")</f>
        <v>0.34375</v>
      </c>
      <c r="L6" s="11" cm="1">
        <f t="array" ref="L6">SUMPRODUCT((D10:D86&lt;&gt;0)*(G10:G86&lt;&gt;0)) / SUMPRODUCT(((D10:D86&lt;&gt;0)+(G10:G86&lt;&gt;0)&gt;0)*1)</f>
        <v>0.38709677419354838</v>
      </c>
      <c r="M6" s="11" cm="1">
        <f t="array" ref="M6">IFERROR(SUMPRODUCT((G10:G86&lt;&gt;"")*(E10:E86&lt;&gt;"")*(G10:G86=E10:E86))/SUMPRODUCT(--((G10:G86&lt;&gt;"")+(E10:E86&lt;&gt;"")&gt;0)),"")</f>
        <v>0.62068965517241381</v>
      </c>
      <c r="N6" s="10" cm="1">
        <f t="array" ref="N6">IFERROR(SUMPRODUCT((G10:G86&lt;&gt;"")*(F10:F86&lt;&gt;"")*(G10:G86=F10:F86))/SUMPRODUCT(--((G10:G86&lt;&gt;"")+(F10:F86&lt;&gt;"")&gt;0)),"")</f>
        <v>0.41935483870967744</v>
      </c>
      <c r="O6" s="10"/>
      <c r="Q6" s="1" t="s">
        <v>17</v>
      </c>
      <c r="R6" s="11" cm="1">
        <f t="array" ref="R6">IFERROR(
   SUMPRODUCT((C10:C86&lt;&gt;"")*(G10:G86&lt;&gt;"")*
   ((C10:C86=G10:G86)+((C10:C86=1)*(G10:G86=2))+((C10:C86=2)*(G10:G86=1))))
   /
   SUMPRODUCT(--((C10:C86&lt;&gt;"")+(G10:G86&lt;&gt;"")&gt;0)),
"")</f>
        <v>0.375</v>
      </c>
      <c r="S6" s="11" cm="1">
        <f t="array" ref="S6">IFERROR(
   SUMPRODUCT((D10:D86&lt;&gt;"")*(G10:G86&lt;&gt;"")*
   ((D10:D86=G10:G86)+((D10:D86=1)*(G10:G86=2))+((D10:D86=2)*(G10:G86=1))))
   /
   SUMPRODUCT(--((D10:D86&lt;&gt;"")+(G10:G86&lt;&gt;"")&gt;0)),
"")</f>
        <v>0.3888888888888889</v>
      </c>
      <c r="T6" s="11" cm="1">
        <f t="array" ref="T6">IFERROR(
   SUMPRODUCT((G10:G86&lt;&gt;"")*(E10:E86&lt;&gt;"")*
   ((G10:G86=E10:E86)+((G10:G86=1)*(E10:E86=2))+((G10:G86=2)*(E10:E86=1))))
   /
   SUMPRODUCT(--((G10:G86&lt;&gt;"")+(E10:E86&lt;&gt;"")&gt;0)),
"")</f>
        <v>0.72413793103448276</v>
      </c>
      <c r="U6" s="10" cm="1">
        <f t="array" ref="U6">IFERROR(
   SUMPRODUCT((F10:F86&lt;&gt;"")*(G10:G86&lt;&gt;"")*
   ((F10:F86=G10:G86)+((F10:F86=1)*(G10:G86=2))+((F10:F86=2)*(G10:G86=1))))
   /
   SUMPRODUCT(--((F10:F86&lt;&gt;"")+(G10:G86&lt;&gt;"")&gt;0)),
"")</f>
        <v>0.4838709677419355</v>
      </c>
      <c r="V6" s="10"/>
    </row>
    <row r="7" spans="1:23" x14ac:dyDescent="0.35">
      <c r="A7" s="1" t="s">
        <v>246</v>
      </c>
      <c r="C7">
        <f>COUNTIF(C28:C59,0)</f>
        <v>0</v>
      </c>
      <c r="D7">
        <f>COUNTIF(D28:D59,0)</f>
        <v>2</v>
      </c>
      <c r="E7">
        <f t="shared" ref="E7:H7" si="6">COUNTIF(E28:E59,0)</f>
        <v>0</v>
      </c>
      <c r="F7">
        <f t="shared" si="6"/>
        <v>4</v>
      </c>
      <c r="G7">
        <f t="shared" si="6"/>
        <v>1</v>
      </c>
      <c r="H7">
        <f t="shared" si="6"/>
        <v>0</v>
      </c>
      <c r="J7" s="1" t="s">
        <v>18</v>
      </c>
      <c r="K7" s="11" cm="1">
        <f t="array" ref="K7">IFERROR(SUMPRODUCT((C10:C86&lt;&gt;"")*(H10:H86&lt;&gt;"")*(C10:C86=H10:H86))/SUMPRODUCT(--((C10:C86&lt;&gt;"")+(H10:H86&lt;&gt;"")&gt;0)),"")</f>
        <v>0.41176470588235292</v>
      </c>
      <c r="L7" s="11" cm="1">
        <f t="array" ref="L7">IFERROR(SUMPRODUCT((H10:H86&lt;&gt;"")*(D10:D86&lt;&gt;"")*(H10:H86=D10:D86))/SUMPRODUCT(--((H10:H86&lt;&gt;"")+(D10:D86&lt;&gt;"")&gt;0)),"")</f>
        <v>0.32500000000000001</v>
      </c>
      <c r="M7" s="11" cm="1">
        <f t="array" ref="M7">IFERROR(SUMPRODUCT((H10:H86&lt;&gt;"")*(E10:E86&lt;&gt;"")*(H10:H86=E10:E86))/SUMPRODUCT(--((H10:H86&lt;&gt;"")+(E10:E86&lt;&gt;"")&gt;0)),"")</f>
        <v>0.42857142857142855</v>
      </c>
      <c r="N7" s="10" cm="1">
        <f t="array" ref="N7">IFERROR(SUMPRODUCT((F10:F86&lt;&gt;"")*(H10:H86&lt;&gt;"")*(F10:F86=H10:H86))/SUMPRODUCT(--((F10:F86&lt;&gt;"")+(H10:H86&lt;&gt;"")&gt;0)),"")</f>
        <v>0.33333333333333331</v>
      </c>
      <c r="O7" s="10" cm="1">
        <f t="array" ref="O7">IFERROR(SUMPRODUCT((G10:G86&lt;&gt;"")*(H10:H86&lt;&gt;"")*(G10:G86=H10:H86))/SUMPRODUCT(--((G10:G86&lt;&gt;"")+(H10:H86&lt;&gt;"")&gt;0)),"")</f>
        <v>0.44444444444444442</v>
      </c>
      <c r="Q7" s="1" t="s">
        <v>18</v>
      </c>
      <c r="R7" s="11" cm="1">
        <f t="array" ref="R7">IFERROR(
   SUMPRODUCT((C10:C86&lt;&gt;"")*(H10:H86&lt;&gt;"")*
   ((C10:C86=H10:H86)+((C10:C86=1)*(H10:H86=2))+((C10:C86=2)*(H10:H86=1))))
   /
   SUMPRODUCT(--((C10:C86&lt;&gt;"")+(H10:H86&lt;&gt;"")&gt;0)),
"")</f>
        <v>0.44117647058823528</v>
      </c>
      <c r="S7" s="11" cm="1">
        <f t="array" ref="S7">IFERROR(
   SUMPRODUCT((H10:H86&lt;&gt;"")*(D10:D86&lt;&gt;"")*
   ((H10:H86=D10:D86)+((H10:H86=1)*(D10:D86=2))+((H10:H86=2)*(D10:D86=1))))
   /
   SUMPRODUCT(--((H10:H86&lt;&gt;"")+(D10:D86&lt;&gt;"")&gt;0)),
"")</f>
        <v>0.32500000000000001</v>
      </c>
      <c r="T7" s="11" cm="1">
        <f t="array" ref="T7">IFERROR(
   SUMPRODUCT((H10:H86&lt;&gt;"")*(E10:E86&lt;&gt;"")*
   ((H10:H86=E10:E86)+((H10:H86=1)*(E10:E86=2))+((H10:H86=2)*(E10:E86=1))))
   /
   SUMPRODUCT(--((H10:H86&lt;&gt;"")+(E10:E86&lt;&gt;"")&gt;0)),
"")</f>
        <v>0.45714285714285713</v>
      </c>
      <c r="U7" s="10" cm="1">
        <f t="array" ref="U7">IFERROR(
   SUMPRODUCT((F10:F86&lt;&gt;"")*(H10:H86&lt;&gt;"")*
   ((F10:F86=H10:H86)+((F10:F86=1)*(H10:H86=2))+((F10:F86=2)*(H10:H86=1))))
   /
   SUMPRODUCT(--((F10:F86&lt;&gt;"")+(H10:H86&lt;&gt;"")&gt;0)),
"")</f>
        <v>0.3611111111111111</v>
      </c>
      <c r="V7" s="10" cm="1">
        <f t="array" ref="V7">IFERROR(
   SUMPRODUCT((H10:H86&lt;&gt;"")*(G10:G86&lt;&gt;"")*
   ((H10:H86=G10:G86)+((H10:H86=1)*(G10:G86=2))+((H10:H86=2)*(G10:G86=1))))
   /
   SUMPRODUCT(--((H10:H86&lt;&gt;"")+(G10:G86&lt;&gt;"")&gt;0)),
"")</f>
        <v>0.47222222222222221</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461</v>
      </c>
      <c r="B10" s="2" t="s">
        <v>490</v>
      </c>
      <c r="C10">
        <v>2</v>
      </c>
      <c r="D10">
        <v>2</v>
      </c>
      <c r="E10">
        <v>2</v>
      </c>
      <c r="F10">
        <v>2</v>
      </c>
      <c r="G10">
        <v>2</v>
      </c>
      <c r="H10">
        <v>2</v>
      </c>
    </row>
    <row r="11" spans="1:23" x14ac:dyDescent="0.35">
      <c r="A11" s="1"/>
      <c r="B11" s="2" t="s">
        <v>491</v>
      </c>
      <c r="C11">
        <v>2</v>
      </c>
      <c r="D11">
        <v>2</v>
      </c>
      <c r="E11">
        <v>2</v>
      </c>
      <c r="F11">
        <v>2</v>
      </c>
      <c r="G11">
        <v>2</v>
      </c>
      <c r="H11">
        <v>2</v>
      </c>
    </row>
    <row r="12" spans="1:23" x14ac:dyDescent="0.35">
      <c r="A12" s="1"/>
      <c r="B12" s="2" t="s">
        <v>493</v>
      </c>
      <c r="C12">
        <v>2</v>
      </c>
      <c r="D12">
        <v>2</v>
      </c>
      <c r="E12">
        <v>2</v>
      </c>
      <c r="F12">
        <v>2</v>
      </c>
      <c r="G12">
        <v>1</v>
      </c>
      <c r="H12">
        <v>2</v>
      </c>
    </row>
    <row r="13" spans="1:23" x14ac:dyDescent="0.35">
      <c r="A13" s="1" t="s">
        <v>6</v>
      </c>
      <c r="B13" s="2" t="s">
        <v>480</v>
      </c>
      <c r="C13">
        <v>2</v>
      </c>
      <c r="D13">
        <v>2</v>
      </c>
      <c r="E13">
        <v>2</v>
      </c>
      <c r="F13">
        <v>2</v>
      </c>
      <c r="G13">
        <v>2</v>
      </c>
      <c r="H13">
        <v>2</v>
      </c>
    </row>
    <row r="14" spans="1:23" ht="29" x14ac:dyDescent="0.35">
      <c r="A14" s="1"/>
      <c r="B14" s="2" t="s">
        <v>483</v>
      </c>
      <c r="C14">
        <v>2</v>
      </c>
      <c r="D14">
        <v>2</v>
      </c>
      <c r="E14">
        <v>0</v>
      </c>
      <c r="F14">
        <v>2</v>
      </c>
      <c r="G14">
        <v>0</v>
      </c>
      <c r="H14">
        <v>0</v>
      </c>
    </row>
    <row r="15" spans="1:23" ht="43.5" x14ac:dyDescent="0.35">
      <c r="A15" s="1"/>
      <c r="B15" s="2" t="s">
        <v>482</v>
      </c>
      <c r="C15">
        <v>2</v>
      </c>
      <c r="D15">
        <v>2</v>
      </c>
      <c r="E15">
        <v>0</v>
      </c>
      <c r="F15">
        <v>2</v>
      </c>
      <c r="G15">
        <v>0</v>
      </c>
      <c r="H15">
        <v>0</v>
      </c>
    </row>
    <row r="16" spans="1:23" ht="29" x14ac:dyDescent="0.35">
      <c r="A16" s="1"/>
      <c r="B16" s="2" t="s">
        <v>481</v>
      </c>
      <c r="C16">
        <v>2</v>
      </c>
      <c r="D16">
        <v>2</v>
      </c>
      <c r="E16">
        <v>0</v>
      </c>
      <c r="F16">
        <v>2</v>
      </c>
      <c r="G16">
        <v>0</v>
      </c>
      <c r="H16">
        <v>0</v>
      </c>
    </row>
    <row r="17" spans="1:9" x14ac:dyDescent="0.35">
      <c r="A17" s="1"/>
      <c r="B17" s="2" t="s">
        <v>486</v>
      </c>
      <c r="C17">
        <v>2</v>
      </c>
      <c r="D17">
        <v>2</v>
      </c>
      <c r="E17">
        <v>2</v>
      </c>
      <c r="F17">
        <v>2</v>
      </c>
      <c r="G17">
        <v>2</v>
      </c>
      <c r="H17">
        <v>2</v>
      </c>
    </row>
    <row r="18" spans="1:9" ht="29" x14ac:dyDescent="0.35">
      <c r="A18" s="1"/>
      <c r="B18" s="2" t="s">
        <v>487</v>
      </c>
      <c r="C18">
        <v>2</v>
      </c>
      <c r="D18">
        <v>2</v>
      </c>
      <c r="E18">
        <v>2</v>
      </c>
      <c r="F18">
        <v>2</v>
      </c>
      <c r="G18">
        <v>2</v>
      </c>
      <c r="H18">
        <v>2</v>
      </c>
    </row>
    <row r="19" spans="1:9" x14ac:dyDescent="0.35">
      <c r="A19" s="1"/>
      <c r="B19" s="2" t="s">
        <v>508</v>
      </c>
      <c r="C19">
        <v>2</v>
      </c>
      <c r="D19">
        <v>2</v>
      </c>
      <c r="E19">
        <v>2</v>
      </c>
      <c r="F19">
        <v>1</v>
      </c>
      <c r="G19">
        <v>2</v>
      </c>
      <c r="H19">
        <v>2</v>
      </c>
    </row>
    <row r="20" spans="1:9" ht="29" x14ac:dyDescent="0.35">
      <c r="A20" s="1"/>
      <c r="B20" s="2" t="s">
        <v>489</v>
      </c>
      <c r="C20">
        <v>0</v>
      </c>
      <c r="D20">
        <v>0</v>
      </c>
      <c r="E20">
        <v>2</v>
      </c>
      <c r="F20">
        <v>0</v>
      </c>
      <c r="G20">
        <v>1</v>
      </c>
      <c r="H20">
        <v>0</v>
      </c>
    </row>
    <row r="21" spans="1:9" ht="29" x14ac:dyDescent="0.35">
      <c r="A21" s="1" t="s">
        <v>284</v>
      </c>
      <c r="B21" s="2" t="s">
        <v>484</v>
      </c>
      <c r="C21">
        <v>1</v>
      </c>
      <c r="D21">
        <v>0</v>
      </c>
      <c r="E21">
        <v>0</v>
      </c>
      <c r="F21">
        <v>0</v>
      </c>
      <c r="G21">
        <v>0</v>
      </c>
      <c r="H21">
        <v>2</v>
      </c>
    </row>
    <row r="22" spans="1:9" x14ac:dyDescent="0.35">
      <c r="A22" s="1"/>
      <c r="B22" s="2" t="s">
        <v>485</v>
      </c>
      <c r="C22">
        <v>2</v>
      </c>
      <c r="D22">
        <v>2</v>
      </c>
      <c r="E22">
        <v>2</v>
      </c>
      <c r="F22">
        <v>2</v>
      </c>
      <c r="G22">
        <v>2</v>
      </c>
      <c r="H22">
        <v>2</v>
      </c>
    </row>
    <row r="23" spans="1:9" x14ac:dyDescent="0.35">
      <c r="A23" s="1"/>
      <c r="B23" s="2" t="s">
        <v>488</v>
      </c>
      <c r="C23">
        <v>0</v>
      </c>
      <c r="D23">
        <v>0</v>
      </c>
      <c r="E23">
        <v>0</v>
      </c>
      <c r="F23">
        <v>0</v>
      </c>
      <c r="G23">
        <v>1</v>
      </c>
      <c r="H23">
        <v>1</v>
      </c>
    </row>
    <row r="24" spans="1:9" x14ac:dyDescent="0.35">
      <c r="A24" s="1"/>
      <c r="B24" s="2" t="s">
        <v>507</v>
      </c>
      <c r="C24">
        <v>0</v>
      </c>
      <c r="D24">
        <v>0</v>
      </c>
      <c r="E24">
        <v>2</v>
      </c>
      <c r="F24">
        <v>0</v>
      </c>
      <c r="G24">
        <v>1</v>
      </c>
      <c r="H24">
        <v>1</v>
      </c>
    </row>
    <row r="25" spans="1:9" ht="29" x14ac:dyDescent="0.35">
      <c r="A25" s="1"/>
      <c r="B25" s="2" t="s">
        <v>492</v>
      </c>
      <c r="C25">
        <v>0</v>
      </c>
      <c r="D25">
        <v>0</v>
      </c>
      <c r="E25">
        <v>0</v>
      </c>
      <c r="F25">
        <v>0</v>
      </c>
      <c r="G25">
        <v>0</v>
      </c>
      <c r="H25">
        <v>0</v>
      </c>
    </row>
    <row r="26" spans="1:9" x14ac:dyDescent="0.35">
      <c r="A26" s="1" t="s">
        <v>395</v>
      </c>
      <c r="B26" s="2" t="s">
        <v>511</v>
      </c>
      <c r="C26">
        <v>2</v>
      </c>
      <c r="D26">
        <v>2</v>
      </c>
      <c r="E26">
        <v>2</v>
      </c>
      <c r="F26">
        <v>2</v>
      </c>
      <c r="G26">
        <v>2</v>
      </c>
      <c r="H26">
        <v>2</v>
      </c>
    </row>
    <row r="27" spans="1:9" s="3" customFormat="1" x14ac:dyDescent="0.35">
      <c r="G27" s="4"/>
      <c r="H27" s="4"/>
      <c r="I27" s="4"/>
    </row>
    <row r="28" spans="1:9" x14ac:dyDescent="0.35">
      <c r="B28" s="2" t="s">
        <v>494</v>
      </c>
      <c r="C28">
        <v>1</v>
      </c>
      <c r="D28">
        <v>1</v>
      </c>
      <c r="F28">
        <v>1</v>
      </c>
      <c r="H28">
        <v>1</v>
      </c>
    </row>
    <row r="29" spans="1:9" ht="29" x14ac:dyDescent="0.35">
      <c r="B29" s="2" t="s">
        <v>496</v>
      </c>
      <c r="C29">
        <v>1</v>
      </c>
      <c r="D29">
        <v>1</v>
      </c>
      <c r="E29">
        <v>1</v>
      </c>
      <c r="F29">
        <v>1</v>
      </c>
      <c r="G29">
        <v>1</v>
      </c>
    </row>
    <row r="30" spans="1:9" x14ac:dyDescent="0.35">
      <c r="B30" s="2" t="s">
        <v>551</v>
      </c>
      <c r="C30">
        <v>1</v>
      </c>
      <c r="E30">
        <v>1</v>
      </c>
    </row>
    <row r="31" spans="1:9" x14ac:dyDescent="0.35">
      <c r="B31" s="2" t="s">
        <v>512</v>
      </c>
      <c r="C31">
        <v>1</v>
      </c>
      <c r="D31">
        <v>1</v>
      </c>
    </row>
    <row r="32" spans="1:9" x14ac:dyDescent="0.35">
      <c r="B32" s="2" t="s">
        <v>513</v>
      </c>
      <c r="C32">
        <v>1</v>
      </c>
      <c r="D32">
        <v>1</v>
      </c>
    </row>
    <row r="33" spans="2:8" x14ac:dyDescent="0.35">
      <c r="B33" s="2" t="s">
        <v>514</v>
      </c>
      <c r="C33">
        <v>1</v>
      </c>
      <c r="D33">
        <v>1</v>
      </c>
    </row>
    <row r="34" spans="2:8" x14ac:dyDescent="0.35">
      <c r="B34" s="2" t="s">
        <v>515</v>
      </c>
      <c r="F34">
        <v>1</v>
      </c>
      <c r="G34">
        <v>1</v>
      </c>
    </row>
    <row r="35" spans="2:8" x14ac:dyDescent="0.35">
      <c r="B35" s="2" t="s">
        <v>497</v>
      </c>
      <c r="F35">
        <v>1</v>
      </c>
      <c r="G35">
        <v>1</v>
      </c>
    </row>
    <row r="36" spans="2:8" x14ac:dyDescent="0.35">
      <c r="B36" s="2" t="s">
        <v>498</v>
      </c>
      <c r="D36">
        <v>0</v>
      </c>
      <c r="F36">
        <v>0</v>
      </c>
    </row>
    <row r="37" spans="2:8" x14ac:dyDescent="0.35">
      <c r="B37" s="2" t="s">
        <v>499</v>
      </c>
      <c r="F37">
        <v>0</v>
      </c>
    </row>
    <row r="38" spans="2:8" x14ac:dyDescent="0.35">
      <c r="B38" s="2" t="s">
        <v>500</v>
      </c>
      <c r="D38">
        <v>1</v>
      </c>
      <c r="F38">
        <v>1</v>
      </c>
      <c r="G38">
        <v>1</v>
      </c>
      <c r="H38">
        <v>1</v>
      </c>
    </row>
    <row r="39" spans="2:8" x14ac:dyDescent="0.35">
      <c r="B39" s="2" t="s">
        <v>501</v>
      </c>
      <c r="F39">
        <v>0</v>
      </c>
    </row>
    <row r="40" spans="2:8" x14ac:dyDescent="0.35">
      <c r="B40" s="2" t="s">
        <v>502</v>
      </c>
      <c r="F40">
        <v>0</v>
      </c>
    </row>
    <row r="41" spans="2:8" ht="29" x14ac:dyDescent="0.35">
      <c r="B41" s="2" t="s">
        <v>495</v>
      </c>
      <c r="C41">
        <v>1</v>
      </c>
      <c r="E41">
        <v>1</v>
      </c>
      <c r="H41">
        <v>1</v>
      </c>
    </row>
    <row r="42" spans="2:8" ht="29" x14ac:dyDescent="0.35">
      <c r="B42" s="2" t="s">
        <v>509</v>
      </c>
      <c r="D42">
        <v>1</v>
      </c>
      <c r="E42">
        <v>1</v>
      </c>
      <c r="G42">
        <v>1</v>
      </c>
    </row>
    <row r="43" spans="2:8" ht="29" x14ac:dyDescent="0.35">
      <c r="B43" s="2" t="s">
        <v>510</v>
      </c>
      <c r="D43">
        <v>1</v>
      </c>
      <c r="E43">
        <v>1</v>
      </c>
    </row>
    <row r="44" spans="2:8" x14ac:dyDescent="0.35">
      <c r="B44" s="2" t="s">
        <v>503</v>
      </c>
      <c r="D44">
        <v>1</v>
      </c>
    </row>
    <row r="45" spans="2:8" x14ac:dyDescent="0.35">
      <c r="B45" s="2" t="s">
        <v>504</v>
      </c>
      <c r="D45">
        <v>1</v>
      </c>
    </row>
    <row r="46" spans="2:8" x14ac:dyDescent="0.35">
      <c r="B46" s="2" t="s">
        <v>505</v>
      </c>
      <c r="D46">
        <v>1</v>
      </c>
    </row>
    <row r="47" spans="2:8" x14ac:dyDescent="0.35">
      <c r="B47" s="2" t="s">
        <v>506</v>
      </c>
      <c r="D47">
        <v>0</v>
      </c>
    </row>
    <row r="48" spans="2:8" x14ac:dyDescent="0.35">
      <c r="B48" s="2" t="s">
        <v>516</v>
      </c>
      <c r="G48">
        <v>0</v>
      </c>
    </row>
    <row r="49" spans="2:8" x14ac:dyDescent="0.35">
      <c r="B49" s="2" t="s">
        <v>426</v>
      </c>
      <c r="E49">
        <v>1</v>
      </c>
      <c r="G49">
        <v>1</v>
      </c>
    </row>
    <row r="50" spans="2:8" x14ac:dyDescent="0.35">
      <c r="B50" s="2" t="s">
        <v>517</v>
      </c>
      <c r="C50">
        <v>1</v>
      </c>
      <c r="E50">
        <v>1</v>
      </c>
      <c r="G50">
        <v>1</v>
      </c>
      <c r="H50">
        <v>1</v>
      </c>
    </row>
    <row r="51" spans="2:8" x14ac:dyDescent="0.35">
      <c r="B51" s="2" t="s">
        <v>518</v>
      </c>
      <c r="E51">
        <v>1</v>
      </c>
      <c r="G51">
        <v>1</v>
      </c>
    </row>
    <row r="52" spans="2:8" x14ac:dyDescent="0.35">
      <c r="B52" s="2" t="s">
        <v>549</v>
      </c>
      <c r="H52">
        <v>1</v>
      </c>
    </row>
    <row r="53" spans="2:8" x14ac:dyDescent="0.35">
      <c r="B53" s="2" t="s">
        <v>550</v>
      </c>
      <c r="H53">
        <v>1</v>
      </c>
    </row>
    <row r="54" spans="2:8" x14ac:dyDescent="0.35">
      <c r="B54" s="2" t="s">
        <v>552</v>
      </c>
      <c r="H54">
        <v>1</v>
      </c>
    </row>
    <row r="55" spans="2:8" x14ac:dyDescent="0.35">
      <c r="B55" s="2" t="s">
        <v>553</v>
      </c>
      <c r="H55">
        <v>1</v>
      </c>
    </row>
    <row r="56" spans="2:8" ht="29" x14ac:dyDescent="0.35">
      <c r="B56" s="2" t="s">
        <v>554</v>
      </c>
      <c r="H56">
        <v>1</v>
      </c>
    </row>
    <row r="57" spans="2:8" x14ac:dyDescent="0.35">
      <c r="B57" s="2" t="s">
        <v>555</v>
      </c>
      <c r="H57">
        <v>1</v>
      </c>
    </row>
    <row r="58" spans="2:8" x14ac:dyDescent="0.35">
      <c r="B58" s="2" t="s">
        <v>556</v>
      </c>
      <c r="H58">
        <v>1</v>
      </c>
    </row>
    <row r="59" spans="2:8" x14ac:dyDescent="0.35">
      <c r="B59" s="2" t="s">
        <v>557</v>
      </c>
      <c r="H59">
        <v>1</v>
      </c>
    </row>
    <row r="65" spans="2:2" ht="15.5" x14ac:dyDescent="0.35">
      <c r="B65" s="8"/>
    </row>
    <row r="66" spans="2:2" ht="15.5" x14ac:dyDescent="0.35">
      <c r="B66" s="9"/>
    </row>
    <row r="67" spans="2:2" ht="15.5" x14ac:dyDescent="0.35">
      <c r="B67" s="8"/>
    </row>
    <row r="68" spans="2:2" ht="15.5" x14ac:dyDescent="0.35">
      <c r="B68" s="8"/>
    </row>
    <row r="69" spans="2:2" ht="15.5" x14ac:dyDescent="0.35">
      <c r="B69" s="9"/>
    </row>
    <row r="70" spans="2:2" ht="15.5" x14ac:dyDescent="0.35">
      <c r="B70" s="9"/>
    </row>
    <row r="71" spans="2:2" ht="15.5" x14ac:dyDescent="0.35">
      <c r="B71" s="8"/>
    </row>
    <row r="72" spans="2:2" x14ac:dyDescent="0.35">
      <c r="B72" s="6"/>
    </row>
  </sheetData>
  <conditionalFormatting sqref="D10:D18">
    <cfRule type="iconSet" priority="1">
      <iconSet iconSet="3Symbols">
        <cfvo type="percent" val="0"/>
        <cfvo type="num" val="1"/>
        <cfvo type="num" val="2"/>
      </iconSet>
    </cfRule>
  </conditionalFormatting>
  <conditionalFormatting sqref="D19:D25">
    <cfRule type="iconSet" priority="3">
      <iconSet iconSet="3Symbols">
        <cfvo type="percent" val="0"/>
        <cfvo type="num" val="1"/>
        <cfvo type="num" val="2"/>
      </iconSet>
    </cfRule>
  </conditionalFormatting>
  <conditionalFormatting sqref="D28:D43 D26">
    <cfRule type="iconSet" priority="663">
      <iconSet iconSet="3Symbols">
        <cfvo type="percent" val="0"/>
        <cfvo type="num" val="1"/>
        <cfvo type="num" val="2"/>
      </iconSet>
    </cfRule>
  </conditionalFormatting>
  <conditionalFormatting sqref="E10:E12">
    <cfRule type="iconSet" priority="611">
      <iconSet iconSet="3Symbols">
        <cfvo type="percent" val="0"/>
        <cfvo type="num" val="1"/>
        <cfvo type="num" val="2"/>
      </iconSet>
    </cfRule>
  </conditionalFormatting>
  <conditionalFormatting sqref="E13:E25">
    <cfRule type="iconSet" priority="628">
      <iconSet iconSet="3Symbols">
        <cfvo type="percent" val="0"/>
        <cfvo type="num" val="1"/>
        <cfvo type="num" val="2"/>
      </iconSet>
    </cfRule>
  </conditionalFormatting>
  <conditionalFormatting sqref="F10:F25">
    <cfRule type="iconSet" priority="633">
      <iconSet iconSet="3Symbols">
        <cfvo type="percent" val="0"/>
        <cfvo type="num" val="1"/>
        <cfvo type="num" val="2"/>
      </iconSet>
    </cfRule>
  </conditionalFormatting>
  <conditionalFormatting sqref="F46 F42:G45 G31:G41 I31:I46 G28:I30 H31:H54 G26:I26">
    <cfRule type="iconSet" priority="642">
      <iconSet iconSet="3Symbols">
        <cfvo type="percent" val="0"/>
        <cfvo type="num" val="1"/>
        <cfvo type="num" val="2"/>
      </iconSet>
    </cfRule>
  </conditionalFormatting>
  <conditionalFormatting sqref="G52 C47:G51 C46:F46 C44:G45 E27:F28 E29:G43 G10:I25 G27:I27 C10:C43 G28 I31:I51 H28:I30 H31:H59 E26:I26">
    <cfRule type="iconSet" priority="9">
      <iconSet iconSet="3Symbols">
        <cfvo type="percent" val="0"/>
        <cfvo type="num" val="1"/>
        <cfvo type="num" val="2"/>
      </iconSet>
    </cfRule>
  </conditionalFormatting>
  <conditionalFormatting sqref="J21:J46 J10:J18">
    <cfRule type="iconSet" priority="660">
      <iconSet>
        <cfvo type="percent" val="0"/>
        <cfvo type="num" val="1"/>
        <cfvo type="num" val="2"/>
      </iconSet>
    </cfRule>
  </conditionalFormatting>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34B3-8E71-48B0-A4FF-B50C9EE0AD11}">
  <dimension ref="A1:W71"/>
  <sheetViews>
    <sheetView zoomScale="75" zoomScaleNormal="75" workbookViewId="0">
      <selection activeCell="B21" sqref="B21:B28"/>
    </sheetView>
  </sheetViews>
  <sheetFormatPr defaultRowHeight="14.5" x14ac:dyDescent="0.35"/>
  <cols>
    <col min="1" max="1" width="28" customWidth="1"/>
    <col min="2" max="2" width="35.453125" style="2" customWidth="1"/>
    <col min="3" max="8" width="15.453125" customWidth="1"/>
    <col min="10" max="10" width="12.54296875" customWidth="1"/>
    <col min="17" max="17" width="13.1796875" customWidth="1"/>
  </cols>
  <sheetData>
    <row r="1" spans="1:23" x14ac:dyDescent="0.35">
      <c r="A1" s="1" t="s">
        <v>352</v>
      </c>
      <c r="C1">
        <f xml:space="preserve"> SUM(C3:C4) / (C3+ C4+ C7) * 100</f>
        <v>79.166666666666657</v>
      </c>
      <c r="D1">
        <f t="shared" ref="D1:H1" si="0" xml:space="preserve"> SUM(D3:D4) / (D3+ D4+ D7) * 100</f>
        <v>90.476190476190482</v>
      </c>
      <c r="E1">
        <f t="shared" si="0"/>
        <v>76</v>
      </c>
      <c r="F1">
        <f t="shared" si="0"/>
        <v>84.615384615384613</v>
      </c>
      <c r="G1">
        <f t="shared" si="0"/>
        <v>100</v>
      </c>
      <c r="H1">
        <f t="shared" si="0"/>
        <v>95</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100</v>
      </c>
      <c r="D2">
        <f t="shared" ref="D2:H2" si="1" xml:space="preserve"> SUM(D3:D4) / SUM(D3:D5) *100</f>
        <v>100</v>
      </c>
      <c r="E2">
        <f t="shared" si="1"/>
        <v>100</v>
      </c>
      <c r="F2">
        <f t="shared" si="1"/>
        <v>57.894736842105267</v>
      </c>
      <c r="G2">
        <f t="shared" si="1"/>
        <v>52.631578947368418</v>
      </c>
      <c r="H2">
        <f t="shared" si="1"/>
        <v>100</v>
      </c>
      <c r="J2" s="1" t="s">
        <v>13</v>
      </c>
      <c r="K2" s="10"/>
      <c r="L2" s="10"/>
      <c r="M2" s="10"/>
      <c r="Q2" s="1" t="s">
        <v>13</v>
      </c>
      <c r="R2" s="10"/>
      <c r="S2" s="10"/>
      <c r="T2" s="10"/>
    </row>
    <row r="3" spans="1:23" x14ac:dyDescent="0.35">
      <c r="A3" s="1" t="s">
        <v>242</v>
      </c>
      <c r="C3" s="2">
        <f>COUNTIF(C10:C28, 2)</f>
        <v>19</v>
      </c>
      <c r="D3" s="2">
        <f t="shared" ref="D3:H3" si="2">COUNTIF(D10:D28, 2)</f>
        <v>19</v>
      </c>
      <c r="E3" s="2">
        <f t="shared" si="2"/>
        <v>19</v>
      </c>
      <c r="F3" s="2">
        <f t="shared" si="2"/>
        <v>6</v>
      </c>
      <c r="G3" s="2">
        <f t="shared" si="2"/>
        <v>7</v>
      </c>
      <c r="H3" s="2">
        <f t="shared" si="2"/>
        <v>13</v>
      </c>
      <c r="J3" s="1" t="s">
        <v>14</v>
      </c>
      <c r="K3" s="10" cm="1">
        <f t="array" ref="K3">IFERROR(SUMPRODUCT((C10:C82&lt;&gt;"")*(D10:D82&lt;&gt;"")*(C10:C82=D10:D82))/SUMPRODUCT(--((C10:C82&lt;&gt;"")+(D10:D82&lt;&gt;"")&gt;0)),"")</f>
        <v>0.74285714285714288</v>
      </c>
      <c r="L3" s="10"/>
      <c r="M3" s="10"/>
      <c r="Q3" s="1" t="s">
        <v>14</v>
      </c>
      <c r="R3" s="10" cm="1">
        <f t="array" ref="R3">IFERROR(
   SUMPRODUCT((C10:C82&lt;&gt;"")*(D10:D82&lt;&gt;"")*
   ((C10:C82=D10:D82)+((C10:C82=1)*(D10:D82=2))+((C10:C82=2)*(D10:D82=1))))
   /
   SUMPRODUCT(--((C10:C82&lt;&gt;"")+(D10:D82&lt;&gt;"")&gt;0)),
"")</f>
        <v>0.74285714285714288</v>
      </c>
      <c r="S3" s="10"/>
      <c r="T3" s="10"/>
    </row>
    <row r="4" spans="1:23" x14ac:dyDescent="0.35">
      <c r="A4" s="1" t="s">
        <v>243</v>
      </c>
      <c r="C4">
        <f>COUNTIF(C10:C28, 1)</f>
        <v>0</v>
      </c>
      <c r="D4">
        <f t="shared" ref="D4:H4" si="3">COUNTIF(D10:D28, 1)</f>
        <v>0</v>
      </c>
      <c r="E4">
        <f t="shared" si="3"/>
        <v>0</v>
      </c>
      <c r="F4">
        <f t="shared" si="3"/>
        <v>5</v>
      </c>
      <c r="G4">
        <f t="shared" si="3"/>
        <v>3</v>
      </c>
      <c r="H4">
        <f t="shared" si="3"/>
        <v>6</v>
      </c>
      <c r="J4" s="1" t="s">
        <v>15</v>
      </c>
      <c r="K4" s="10" cm="1">
        <f t="array" ref="K4">IFERROR(SUMPRODUCT((C10:C82&lt;&gt;"")*(E10:E82&lt;&gt;"")*(C10:C82=E10:E82))/SUMPRODUCT(--((C10:C82&lt;&gt;"")+(E10:E82&lt;&gt;"")&gt;0)),"")</f>
        <v>0.88235294117647056</v>
      </c>
      <c r="L4" s="10" cm="1">
        <f t="array" ref="L4">IFERROR(SUMPRODUCT((E10:E82&lt;&gt;"")*(D10:D82&lt;&gt;"")*(E10:E82=D10:D82))/SUMPRODUCT(--((E10:E82&lt;&gt;"")+(D10:D82&lt;&gt;"")&gt;0)),"")</f>
        <v>0.74285714285714288</v>
      </c>
      <c r="M4" s="10"/>
      <c r="Q4" s="1" t="s">
        <v>15</v>
      </c>
      <c r="R4" s="10" cm="1">
        <f t="array" ref="R4">IFERROR(
   SUMPRODUCT((C10:C82&lt;&gt;"")*(E10:E82&lt;&gt;"")*
   ((C10:C82=E10:E82)+((C10:C82=1)*(E10:E82=2))+((C10:C82=2)*(E10:E82=1))))
   /
   SUMPRODUCT(--((C10:C82&lt;&gt;"")+(E10:E82&lt;&gt;"")&gt;0)),
"")</f>
        <v>0.88235294117647056</v>
      </c>
      <c r="S4" s="10" cm="1">
        <f t="array" ref="S4">IFERROR(
   SUMPRODUCT((E10:E82&lt;&gt;"")*(D10:D82&lt;&gt;"")*
   ((E10:E82=D10:D82)+((E10:E82=1)*(D10:D82=2))+((E10:E82=2)*(D10:D82=1))))
   /
   SUMPRODUCT(--((E10:E82&lt;&gt;"")+(D10:D82&lt;&gt;"")&gt;0)),
"")</f>
        <v>0.74285714285714288</v>
      </c>
      <c r="T4" s="10"/>
    </row>
    <row r="5" spans="1:23" x14ac:dyDescent="0.35">
      <c r="A5" s="1" t="s">
        <v>244</v>
      </c>
      <c r="C5">
        <f>COUNTIF(C10:C28, 0)</f>
        <v>0</v>
      </c>
      <c r="D5">
        <f t="shared" ref="D5:H5" si="4">COUNTIF(D10:D28, 0)</f>
        <v>0</v>
      </c>
      <c r="E5">
        <f t="shared" si="4"/>
        <v>0</v>
      </c>
      <c r="F5">
        <f t="shared" si="4"/>
        <v>8</v>
      </c>
      <c r="G5">
        <f t="shared" si="4"/>
        <v>9</v>
      </c>
      <c r="H5">
        <f t="shared" si="4"/>
        <v>0</v>
      </c>
      <c r="J5" s="1" t="s">
        <v>16</v>
      </c>
      <c r="K5" s="11" cm="1">
        <f t="array" ref="K5">IFERROR(SUMPRODUCT((C10:C82&lt;&gt;"")*(F10:F82&lt;&gt;"")*(C10:C82=F10:F82))/SUMPRODUCT(--((C10:C82&lt;&gt;"")+(F10:F82&lt;&gt;"")&gt;0)),"")</f>
        <v>0.21428571428571427</v>
      </c>
      <c r="L5" s="11" cm="1">
        <f t="array" ref="L5">IFERROR(SUMPRODUCT((F10:F82&lt;&gt;"")*(D10:D82&lt;&gt;"")*(F10:F82=D10:D82))/SUMPRODUCT(--((F10:F82&lt;&gt;"")+(D10:D82&lt;&gt;"")&gt;0)),"")</f>
        <v>0.23076923076923078</v>
      </c>
      <c r="M5" s="11" cm="1">
        <f t="array" ref="M5">IFERROR(SUMPRODUCT((F10:F82&lt;&gt;"")*(E10:E82&lt;&gt;"")*(F10:F82=E10:E82))/SUMPRODUCT(--((F10:F82&lt;&gt;"")+(E10:E82&lt;&gt;"")&gt;0)),"")</f>
        <v>0.21428571428571427</v>
      </c>
      <c r="N5" s="10"/>
      <c r="O5" s="10"/>
      <c r="Q5" s="1" t="s">
        <v>16</v>
      </c>
      <c r="R5" s="11" cm="1">
        <f t="array" ref="R5">IFERROR(
   SUMPRODUCT((C10:C82&lt;&gt;"")*(F10:F82&lt;&gt;"")*
   ((C10:C82=F10:F82)+((C10:C82=1)*(F10:F82=2))+((C10:C82=2)*(F10:F82=1))))
   /
   SUMPRODUCT(--((C10:C82&lt;&gt;"")+(F10:F82&lt;&gt;"")&gt;0)),
"")</f>
        <v>0.33333333333333331</v>
      </c>
      <c r="S5" s="11" cm="1">
        <f t="array" ref="S5">IFERROR(
   SUMPRODUCT((F10:F82&lt;&gt;"")*(D10:D82&lt;&gt;"")*
   ((F10:F82=D10:D82)+((F10:F82=1)*(D10:D82=2))+((F10:F82=2)*(D10:D82=1))))
   /
   SUMPRODUCT(--((F10:F82&lt;&gt;"")+(D10:D82&lt;&gt;"")&gt;0)),
"")</f>
        <v>0.35897435897435898</v>
      </c>
      <c r="T5" s="11" cm="1">
        <f t="array" ref="T5">IFERROR(
   SUMPRODUCT((F10:F82&lt;&gt;"")*(E10:E82&lt;&gt;"")*
   ((F10:F82=E10:E82)+((F10:F82=1)*(E10:E82=2))+((F10:F82=2)*(E10:E82=1))))
   /
   SUMPRODUCT(--((F10:F82&lt;&gt;"")+(E10:E82&lt;&gt;"")&gt;0)),
"")</f>
        <v>0.33333333333333331</v>
      </c>
      <c r="U5" s="10"/>
      <c r="V5" s="10"/>
    </row>
    <row r="6" spans="1:23" x14ac:dyDescent="0.35">
      <c r="A6" s="1" t="s">
        <v>245</v>
      </c>
      <c r="C6">
        <f>COUNTIF(C30:C98,0) + COUNTIF(C30:C98,1)</f>
        <v>13</v>
      </c>
      <c r="D6">
        <f t="shared" ref="D6:H6" si="5">COUNTIF(D30:D98,0) + COUNTIF(D30:D98,1)</f>
        <v>10</v>
      </c>
      <c r="E6">
        <f t="shared" si="5"/>
        <v>13</v>
      </c>
      <c r="F6">
        <f t="shared" si="5"/>
        <v>13</v>
      </c>
      <c r="G6">
        <f t="shared" si="5"/>
        <v>16</v>
      </c>
      <c r="H6">
        <f t="shared" si="5"/>
        <v>24</v>
      </c>
      <c r="J6" s="1" t="s">
        <v>17</v>
      </c>
      <c r="K6" s="11" cm="1">
        <f t="array" ref="K6">IFERROR(SUMPRODUCT((C10:C82&lt;&gt;"")*(G10:G82&lt;&gt;"")*(C10:C82=G10:G82))/SUMPRODUCT(--((C10:C82&lt;&gt;"")+(G10:G82&lt;&gt;"")&gt;0)),"")</f>
        <v>0.22727272727272727</v>
      </c>
      <c r="L6" s="11" cm="1">
        <f t="array" ref="L6">SUMPRODUCT((D10:D82&lt;&gt;0)*(G10:G82&lt;&gt;0)) / SUMPRODUCT(((D10:D82&lt;&gt;0)+(G10:G82&lt;&gt;0)&gt;0)*1)</f>
        <v>0.32500000000000001</v>
      </c>
      <c r="M6" s="11" cm="1">
        <f t="array" ref="M6">IFERROR(SUMPRODUCT((G10:G82&lt;&gt;"")*(E10:E82&lt;&gt;"")*(G10:G82=E10:E82))/SUMPRODUCT(--((G10:G82&lt;&gt;"")+(E10:E82&lt;&gt;"")&gt;0)),"")</f>
        <v>0.22727272727272727</v>
      </c>
      <c r="N6" s="10" cm="1">
        <f t="array" ref="N6">IFERROR(SUMPRODUCT((G10:G82&lt;&gt;"")*(F10:F82&lt;&gt;"")*(G10:G82=F10:F82))/SUMPRODUCT(--((G10:G82&lt;&gt;"")+(F10:F82&lt;&gt;"")&gt;0)),"")</f>
        <v>0.67567567567567566</v>
      </c>
      <c r="O6" s="10"/>
      <c r="Q6" s="1" t="s">
        <v>17</v>
      </c>
      <c r="R6" s="11" cm="1">
        <f t="array" ref="R6">IFERROR(
   SUMPRODUCT((C10:C82&lt;&gt;"")*(G10:G82&lt;&gt;"")*
   ((C10:C82=G10:G82)+((C10:C82=1)*(G10:G82=2))+((C10:C82=2)*(G10:G82=1))))
   /
   SUMPRODUCT(--((C10:C82&lt;&gt;"")+(G10:G82&lt;&gt;"")&gt;0)),
"")</f>
        <v>0.29545454545454547</v>
      </c>
      <c r="S6" s="11" cm="1">
        <f t="array" ref="S6">IFERROR(
   SUMPRODUCT((D10:D82&lt;&gt;"")*(G10:G82&lt;&gt;"")*
   ((D10:D82=G10:G82)+((D10:D82=1)*(G10:G82=2))+((D10:D82=2)*(G10:G82=1))))
   /
   SUMPRODUCT(--((D10:D82&lt;&gt;"")+(G10:G82&lt;&gt;"")&gt;0)),
"")</f>
        <v>0.30952380952380953</v>
      </c>
      <c r="T6" s="11" cm="1">
        <f t="array" ref="T6">IFERROR(
   SUMPRODUCT((G10:G82&lt;&gt;"")*(E10:E82&lt;&gt;"")*
   ((G10:G82=E10:E82)+((G10:G82=1)*(E10:E82=2))+((G10:G82=2)*(E10:E82=1))))
   /
   SUMPRODUCT(--((G10:G82&lt;&gt;"")+(E10:E82&lt;&gt;"")&gt;0)),
"")</f>
        <v>0.29545454545454547</v>
      </c>
      <c r="U6" s="10" cm="1">
        <f t="array" ref="U6">IFERROR(
   SUMPRODUCT((F10:F82&lt;&gt;"")*(G10:G82&lt;&gt;"")*
   ((F10:F82=G10:G82)+((F10:F82=1)*(G10:G82=2))+((F10:F82=2)*(G10:G82=1))))
   /
   SUMPRODUCT(--((F10:F82&lt;&gt;"")+(G10:G82&lt;&gt;"")&gt;0)),
"")</f>
        <v>0.7567567567567568</v>
      </c>
      <c r="V6" s="10"/>
    </row>
    <row r="7" spans="1:23" x14ac:dyDescent="0.35">
      <c r="A7" s="1" t="s">
        <v>246</v>
      </c>
      <c r="C7">
        <f>COUNTIF(C30:C98,0)</f>
        <v>5</v>
      </c>
      <c r="D7">
        <f t="shared" ref="D7:H7" si="6">COUNTIF(D30:D98,0)</f>
        <v>2</v>
      </c>
      <c r="E7">
        <f t="shared" si="6"/>
        <v>6</v>
      </c>
      <c r="F7">
        <f t="shared" si="6"/>
        <v>2</v>
      </c>
      <c r="G7">
        <f t="shared" si="6"/>
        <v>0</v>
      </c>
      <c r="H7">
        <f t="shared" si="6"/>
        <v>1</v>
      </c>
      <c r="J7" s="1" t="s">
        <v>18</v>
      </c>
      <c r="K7" s="11" cm="1">
        <f t="array" ref="K7">IFERROR(SUMPRODUCT((C10:C82&lt;&gt;"")*(H10:H82&lt;&gt;"")*(C10:C82=H10:H82))/SUMPRODUCT(--((C10:C82&lt;&gt;"")+(H10:H82&lt;&gt;"")&gt;0)),"")</f>
        <v>0.30769230769230771</v>
      </c>
      <c r="L7" s="11" cm="1">
        <f t="array" ref="L7">IFERROR(SUMPRODUCT((H10:H82&lt;&gt;"")*(D10:D82&lt;&gt;"")*(H10:H82=D10:D82))/SUMPRODUCT(--((H10:H82&lt;&gt;"")+(D10:D82&lt;&gt;"")&gt;0)),"")</f>
        <v>0.32</v>
      </c>
      <c r="M7" s="11" cm="1">
        <f t="array" ref="M7">IFERROR(SUMPRODUCT((H10:H82&lt;&gt;"")*(E10:E82&lt;&gt;"")*(H10:H82=E10:E82))/SUMPRODUCT(--((H10:H82&lt;&gt;"")+(E10:E82&lt;&gt;"")&gt;0)),"")</f>
        <v>0.30769230769230771</v>
      </c>
      <c r="N7" s="10" cm="1">
        <f t="array" ref="N7">IFERROR(SUMPRODUCT((F10:F82&lt;&gt;"")*(H10:H82&lt;&gt;"")*(F10:F82=H10:H82))/SUMPRODUCT(--((F10:F82&lt;&gt;"")+(H10:H82&lt;&gt;"")&gt;0)),"")</f>
        <v>0.27083333333333331</v>
      </c>
      <c r="O7" s="10" cm="1">
        <f t="array" ref="O7">IFERROR(SUMPRODUCT((G10:G82&lt;&gt;"")*(H10:H82&lt;&gt;"")*(G10:G82=H10:H82))/SUMPRODUCT(--((G10:G82&lt;&gt;"")+(H10:H82&lt;&gt;"")&gt;0)),"")</f>
        <v>0.47826086956521741</v>
      </c>
      <c r="Q7" s="1" t="s">
        <v>18</v>
      </c>
      <c r="R7" s="11" cm="1">
        <f t="array" ref="R7">IFERROR(
   SUMPRODUCT((C10:C82&lt;&gt;"")*(H10:H82&lt;&gt;"")*
   ((C10:C82=H10:H82)+((C10:C82=1)*(H10:H82=2))+((C10:C82=2)*(H10:H82=1))))
   /
   SUMPRODUCT(--((C10:C82&lt;&gt;"")+(H10:H82&lt;&gt;"")&gt;0)),
"")</f>
        <v>0.42307692307692307</v>
      </c>
      <c r="S7" s="11" cm="1">
        <f t="array" ref="S7">IFERROR(
   SUMPRODUCT((H10:H82&lt;&gt;"")*(D10:D82&lt;&gt;"")*
   ((H10:H82=D10:D82)+((H10:H82=1)*(D10:D82=2))+((H10:H82=2)*(D10:D82=1))))
   /
   SUMPRODUCT(--((H10:H82&lt;&gt;"")+(D10:D82&lt;&gt;"")&gt;0)),
"")</f>
        <v>0.44</v>
      </c>
      <c r="T7" s="11" cm="1">
        <f t="array" ref="T7">IFERROR(
   SUMPRODUCT((H10:H82&lt;&gt;"")*(E10:E82&lt;&gt;"")*
   ((H10:H82=E10:E82)+((H10:H82=1)*(E10:E82=2))+((H10:H82=2)*(E10:E82=1))))
   /
   SUMPRODUCT(--((H10:H82&lt;&gt;"")+(E10:E82&lt;&gt;"")&gt;0)),
"")</f>
        <v>0.42307692307692307</v>
      </c>
      <c r="U7" s="10" cm="1">
        <f t="array" ref="U7">IFERROR(
   SUMPRODUCT((F10:F82&lt;&gt;"")*(H10:H82&lt;&gt;"")*
   ((F10:F82=H10:H82)+((F10:F82=1)*(H10:H82=2))+((F10:F82=2)*(H10:H82=1))))
   /
   SUMPRODUCT(--((F10:F82&lt;&gt;"")+(H10:H82&lt;&gt;"")&gt;0)),
"")</f>
        <v>0.375</v>
      </c>
      <c r="V7" s="10" cm="1">
        <f t="array" ref="V7">IFERROR(
   SUMPRODUCT((H10:H82&lt;&gt;"")*(G10:G82&lt;&gt;"")*
   ((H10:H82=G10:G82)+((H10:H82=1)*(G10:G82=2))+((H10:H82=2)*(G10:G82=1))))
   /
   SUMPRODUCT(--((H10:H82&lt;&gt;"")+(G10:G82&lt;&gt;"")&gt;0)),
"")</f>
        <v>0.5</v>
      </c>
    </row>
    <row r="8" spans="1:23" s="3" customFormat="1" x14ac:dyDescent="0.35">
      <c r="B8" s="4"/>
    </row>
    <row r="9" spans="1:23" s="1" customFormat="1" x14ac:dyDescent="0.35">
      <c r="B9" s="5"/>
      <c r="C9" s="1" t="s">
        <v>13</v>
      </c>
      <c r="D9" s="1" t="s">
        <v>14</v>
      </c>
      <c r="E9" s="1" t="s">
        <v>15</v>
      </c>
      <c r="F9" s="1" t="s">
        <v>16</v>
      </c>
      <c r="G9" s="1" t="s">
        <v>17</v>
      </c>
      <c r="H9" s="1" t="s">
        <v>18</v>
      </c>
    </row>
    <row r="10" spans="1:23" x14ac:dyDescent="0.35">
      <c r="A10" s="1" t="s">
        <v>461</v>
      </c>
      <c r="B10" s="2" t="s">
        <v>519</v>
      </c>
      <c r="C10">
        <v>2</v>
      </c>
      <c r="D10">
        <v>2</v>
      </c>
      <c r="E10">
        <v>2</v>
      </c>
      <c r="F10">
        <v>2</v>
      </c>
      <c r="G10">
        <v>2</v>
      </c>
      <c r="H10">
        <v>2</v>
      </c>
    </row>
    <row r="11" spans="1:23" x14ac:dyDescent="0.35">
      <c r="A11" s="1"/>
      <c r="B11" s="2" t="s">
        <v>534</v>
      </c>
      <c r="C11">
        <v>2</v>
      </c>
      <c r="D11">
        <v>2</v>
      </c>
      <c r="E11">
        <v>2</v>
      </c>
      <c r="F11">
        <v>2</v>
      </c>
      <c r="G11">
        <v>2</v>
      </c>
      <c r="H11">
        <v>2</v>
      </c>
    </row>
    <row r="12" spans="1:23" x14ac:dyDescent="0.35">
      <c r="A12" s="1" t="s">
        <v>6</v>
      </c>
      <c r="B12" s="2" t="s">
        <v>527</v>
      </c>
      <c r="C12">
        <v>2</v>
      </c>
      <c r="D12">
        <v>2</v>
      </c>
      <c r="E12">
        <v>2</v>
      </c>
      <c r="F12">
        <v>2</v>
      </c>
      <c r="G12">
        <v>2</v>
      </c>
      <c r="H12">
        <v>2</v>
      </c>
    </row>
    <row r="13" spans="1:23" x14ac:dyDescent="0.35">
      <c r="A13" s="1"/>
      <c r="B13" s="2" t="s">
        <v>558</v>
      </c>
      <c r="C13">
        <v>2</v>
      </c>
      <c r="D13">
        <v>2</v>
      </c>
      <c r="E13">
        <v>2</v>
      </c>
      <c r="F13">
        <v>2</v>
      </c>
      <c r="G13">
        <v>2</v>
      </c>
      <c r="H13">
        <v>2</v>
      </c>
    </row>
    <row r="14" spans="1:23" x14ac:dyDescent="0.35">
      <c r="A14" s="1"/>
      <c r="B14" s="2" t="s">
        <v>528</v>
      </c>
      <c r="C14">
        <v>2</v>
      </c>
      <c r="D14">
        <v>2</v>
      </c>
      <c r="E14">
        <v>2</v>
      </c>
      <c r="F14">
        <v>2</v>
      </c>
      <c r="G14">
        <v>1</v>
      </c>
      <c r="H14">
        <v>1</v>
      </c>
    </row>
    <row r="15" spans="1:23" x14ac:dyDescent="0.35">
      <c r="A15" s="1"/>
      <c r="B15" s="2" t="s">
        <v>529</v>
      </c>
      <c r="C15">
        <v>2</v>
      </c>
      <c r="D15">
        <v>2</v>
      </c>
      <c r="E15">
        <v>2</v>
      </c>
      <c r="F15">
        <v>0</v>
      </c>
      <c r="G15">
        <v>0</v>
      </c>
      <c r="H15">
        <v>1</v>
      </c>
    </row>
    <row r="16" spans="1:23" x14ac:dyDescent="0.35">
      <c r="A16" s="1"/>
      <c r="B16" s="2" t="s">
        <v>530</v>
      </c>
      <c r="C16">
        <v>2</v>
      </c>
      <c r="D16">
        <v>2</v>
      </c>
      <c r="E16">
        <v>2</v>
      </c>
      <c r="F16">
        <v>0</v>
      </c>
      <c r="G16">
        <v>0</v>
      </c>
      <c r="H16">
        <v>1</v>
      </c>
    </row>
    <row r="17" spans="1:9" x14ac:dyDescent="0.35">
      <c r="A17" s="1"/>
      <c r="B17" s="2" t="s">
        <v>531</v>
      </c>
      <c r="C17">
        <v>2</v>
      </c>
      <c r="D17">
        <v>2</v>
      </c>
      <c r="E17">
        <v>2</v>
      </c>
      <c r="F17">
        <v>0</v>
      </c>
      <c r="G17">
        <v>0</v>
      </c>
      <c r="H17">
        <v>1</v>
      </c>
    </row>
    <row r="18" spans="1:9" x14ac:dyDescent="0.35">
      <c r="A18" s="1"/>
      <c r="B18" s="2" t="s">
        <v>532</v>
      </c>
      <c r="C18">
        <v>2</v>
      </c>
      <c r="D18">
        <v>2</v>
      </c>
      <c r="E18">
        <v>2</v>
      </c>
      <c r="F18">
        <v>0</v>
      </c>
      <c r="G18">
        <v>0</v>
      </c>
      <c r="H18">
        <v>1</v>
      </c>
    </row>
    <row r="19" spans="1:9" x14ac:dyDescent="0.35">
      <c r="A19" s="1"/>
      <c r="B19" s="2" t="s">
        <v>565</v>
      </c>
      <c r="C19">
        <v>2</v>
      </c>
      <c r="D19">
        <v>2</v>
      </c>
      <c r="E19">
        <v>2</v>
      </c>
      <c r="F19">
        <v>1</v>
      </c>
      <c r="G19">
        <v>1</v>
      </c>
      <c r="H19">
        <v>1</v>
      </c>
    </row>
    <row r="20" spans="1:9" ht="29" x14ac:dyDescent="0.35">
      <c r="B20" s="2" t="s">
        <v>533</v>
      </c>
      <c r="C20">
        <v>2</v>
      </c>
      <c r="D20">
        <v>2</v>
      </c>
      <c r="E20">
        <v>2</v>
      </c>
      <c r="F20">
        <v>2</v>
      </c>
      <c r="G20">
        <v>2</v>
      </c>
      <c r="H20">
        <v>2</v>
      </c>
    </row>
    <row r="21" spans="1:9" x14ac:dyDescent="0.35">
      <c r="A21" s="1" t="s">
        <v>395</v>
      </c>
      <c r="B21" s="2" t="s">
        <v>520</v>
      </c>
      <c r="C21">
        <v>2</v>
      </c>
      <c r="D21">
        <v>2</v>
      </c>
      <c r="E21">
        <v>2</v>
      </c>
      <c r="F21">
        <v>1</v>
      </c>
      <c r="G21">
        <v>1</v>
      </c>
      <c r="H21">
        <v>2</v>
      </c>
    </row>
    <row r="22" spans="1:9" x14ac:dyDescent="0.35">
      <c r="A22" s="1"/>
      <c r="B22" s="2" t="s">
        <v>521</v>
      </c>
      <c r="C22">
        <v>2</v>
      </c>
      <c r="D22">
        <v>2</v>
      </c>
      <c r="E22">
        <v>2</v>
      </c>
      <c r="F22">
        <v>0</v>
      </c>
      <c r="G22">
        <v>0</v>
      </c>
      <c r="H22">
        <v>2</v>
      </c>
    </row>
    <row r="23" spans="1:9" x14ac:dyDescent="0.35">
      <c r="A23" s="1"/>
      <c r="B23" s="2" t="s">
        <v>522</v>
      </c>
      <c r="C23">
        <v>2</v>
      </c>
      <c r="D23">
        <v>2</v>
      </c>
      <c r="E23">
        <v>2</v>
      </c>
      <c r="F23">
        <v>0</v>
      </c>
      <c r="G23">
        <v>0</v>
      </c>
      <c r="H23">
        <v>2</v>
      </c>
    </row>
    <row r="24" spans="1:9" x14ac:dyDescent="0.35">
      <c r="A24" s="1"/>
      <c r="B24" s="2" t="s">
        <v>523</v>
      </c>
      <c r="C24">
        <v>2</v>
      </c>
      <c r="D24">
        <v>2</v>
      </c>
      <c r="E24">
        <v>2</v>
      </c>
      <c r="F24">
        <v>0</v>
      </c>
      <c r="G24">
        <v>0</v>
      </c>
      <c r="H24">
        <v>2</v>
      </c>
    </row>
    <row r="25" spans="1:9" x14ac:dyDescent="0.35">
      <c r="A25" s="1"/>
      <c r="B25" s="2" t="s">
        <v>524</v>
      </c>
      <c r="C25">
        <v>2</v>
      </c>
      <c r="D25">
        <v>2</v>
      </c>
      <c r="E25">
        <v>2</v>
      </c>
      <c r="F25">
        <v>0</v>
      </c>
      <c r="G25">
        <v>0</v>
      </c>
      <c r="H25">
        <v>2</v>
      </c>
    </row>
    <row r="26" spans="1:9" x14ac:dyDescent="0.35">
      <c r="B26" s="2" t="s">
        <v>525</v>
      </c>
      <c r="C26">
        <v>2</v>
      </c>
      <c r="D26">
        <v>2</v>
      </c>
      <c r="E26">
        <v>2</v>
      </c>
      <c r="F26">
        <v>1</v>
      </c>
      <c r="G26">
        <v>0</v>
      </c>
      <c r="H26">
        <v>2</v>
      </c>
    </row>
    <row r="27" spans="1:9" x14ac:dyDescent="0.35">
      <c r="B27" s="2" t="s">
        <v>526</v>
      </c>
      <c r="C27">
        <v>2</v>
      </c>
      <c r="D27">
        <v>2</v>
      </c>
      <c r="E27">
        <v>2</v>
      </c>
      <c r="F27">
        <v>1</v>
      </c>
      <c r="G27">
        <v>2</v>
      </c>
      <c r="H27">
        <v>2</v>
      </c>
    </row>
    <row r="28" spans="1:9" x14ac:dyDescent="0.35">
      <c r="B28" s="2" t="s">
        <v>559</v>
      </c>
      <c r="C28">
        <v>2</v>
      </c>
      <c r="D28">
        <v>2</v>
      </c>
      <c r="E28">
        <v>2</v>
      </c>
      <c r="F28">
        <v>1</v>
      </c>
      <c r="G28">
        <v>2</v>
      </c>
      <c r="H28">
        <v>2</v>
      </c>
    </row>
    <row r="29" spans="1:9" s="3" customFormat="1" x14ac:dyDescent="0.35">
      <c r="B29" s="4"/>
      <c r="F29" s="4"/>
      <c r="G29" s="4"/>
      <c r="H29" s="4"/>
      <c r="I29" s="4"/>
    </row>
    <row r="30" spans="1:9" x14ac:dyDescent="0.35">
      <c r="B30" s="2" t="s">
        <v>545</v>
      </c>
      <c r="C30">
        <v>1</v>
      </c>
      <c r="E30">
        <v>1</v>
      </c>
    </row>
    <row r="31" spans="1:9" x14ac:dyDescent="0.35">
      <c r="B31" s="2" t="s">
        <v>535</v>
      </c>
      <c r="C31">
        <v>1</v>
      </c>
      <c r="D31">
        <v>1</v>
      </c>
      <c r="E31">
        <v>1</v>
      </c>
      <c r="F31">
        <v>1</v>
      </c>
      <c r="G31">
        <v>1</v>
      </c>
      <c r="H31">
        <v>1</v>
      </c>
    </row>
    <row r="32" spans="1:9" ht="29" x14ac:dyDescent="0.35">
      <c r="B32" s="2" t="s">
        <v>536</v>
      </c>
      <c r="C32">
        <v>0</v>
      </c>
      <c r="E32">
        <v>0</v>
      </c>
      <c r="F32">
        <v>0</v>
      </c>
      <c r="G32">
        <v>1</v>
      </c>
      <c r="H32">
        <v>1</v>
      </c>
    </row>
    <row r="33" spans="2:8" ht="29" x14ac:dyDescent="0.35">
      <c r="B33" s="2" t="s">
        <v>537</v>
      </c>
      <c r="C33">
        <v>1</v>
      </c>
      <c r="D33">
        <v>1</v>
      </c>
      <c r="E33">
        <v>1</v>
      </c>
      <c r="F33">
        <v>1</v>
      </c>
      <c r="G33">
        <v>1</v>
      </c>
      <c r="H33">
        <v>1</v>
      </c>
    </row>
    <row r="34" spans="2:8" x14ac:dyDescent="0.35">
      <c r="B34" s="2" t="s">
        <v>538</v>
      </c>
      <c r="C34">
        <v>1</v>
      </c>
      <c r="D34">
        <v>1</v>
      </c>
      <c r="E34">
        <v>1</v>
      </c>
    </row>
    <row r="35" spans="2:8" x14ac:dyDescent="0.35">
      <c r="B35" s="2" t="s">
        <v>539</v>
      </c>
      <c r="C35">
        <v>1</v>
      </c>
      <c r="D35">
        <v>1</v>
      </c>
      <c r="E35">
        <v>1</v>
      </c>
    </row>
    <row r="36" spans="2:8" x14ac:dyDescent="0.35">
      <c r="B36" s="2" t="s">
        <v>574</v>
      </c>
      <c r="C36">
        <v>1</v>
      </c>
      <c r="D36">
        <v>1</v>
      </c>
      <c r="E36">
        <v>1</v>
      </c>
    </row>
    <row r="37" spans="2:8" x14ac:dyDescent="0.35">
      <c r="B37" s="2" t="s">
        <v>540</v>
      </c>
      <c r="C37">
        <v>1</v>
      </c>
    </row>
    <row r="38" spans="2:8" x14ac:dyDescent="0.35">
      <c r="B38" s="2" t="s">
        <v>541</v>
      </c>
      <c r="C38">
        <v>0</v>
      </c>
      <c r="E38">
        <v>0</v>
      </c>
    </row>
    <row r="39" spans="2:8" ht="29" x14ac:dyDescent="0.35">
      <c r="B39" s="2" t="s">
        <v>542</v>
      </c>
      <c r="C39">
        <v>0</v>
      </c>
      <c r="D39">
        <v>0</v>
      </c>
      <c r="E39">
        <v>0</v>
      </c>
    </row>
    <row r="40" spans="2:8" ht="29" x14ac:dyDescent="0.35">
      <c r="B40" s="2" t="s">
        <v>543</v>
      </c>
      <c r="C40">
        <v>0</v>
      </c>
    </row>
    <row r="41" spans="2:8" x14ac:dyDescent="0.35">
      <c r="B41" s="2" t="s">
        <v>544</v>
      </c>
      <c r="C41">
        <v>0</v>
      </c>
      <c r="E41">
        <v>0</v>
      </c>
    </row>
    <row r="42" spans="2:8" x14ac:dyDescent="0.35">
      <c r="B42" s="2" t="s">
        <v>546</v>
      </c>
      <c r="D42">
        <v>1</v>
      </c>
    </row>
    <row r="43" spans="2:8" x14ac:dyDescent="0.35">
      <c r="B43" s="2" t="s">
        <v>547</v>
      </c>
      <c r="D43">
        <v>0</v>
      </c>
    </row>
    <row r="44" spans="2:8" x14ac:dyDescent="0.35">
      <c r="B44" s="2" t="s">
        <v>548</v>
      </c>
      <c r="D44">
        <v>1</v>
      </c>
      <c r="F44">
        <v>1</v>
      </c>
    </row>
    <row r="45" spans="2:8" x14ac:dyDescent="0.35">
      <c r="B45" s="2" t="s">
        <v>560</v>
      </c>
      <c r="E45">
        <v>0</v>
      </c>
    </row>
    <row r="46" spans="2:8" ht="29" x14ac:dyDescent="0.35">
      <c r="B46" s="2" t="s">
        <v>561</v>
      </c>
      <c r="E46">
        <v>0</v>
      </c>
    </row>
    <row r="47" spans="2:8" x14ac:dyDescent="0.35">
      <c r="B47" s="2" t="s">
        <v>562</v>
      </c>
      <c r="F47">
        <v>1</v>
      </c>
      <c r="G47">
        <v>1</v>
      </c>
      <c r="H47">
        <v>1</v>
      </c>
    </row>
    <row r="48" spans="2:8" x14ac:dyDescent="0.35">
      <c r="B48" s="2" t="s">
        <v>563</v>
      </c>
      <c r="F48">
        <v>1</v>
      </c>
      <c r="G48">
        <v>1</v>
      </c>
    </row>
    <row r="49" spans="2:8" x14ac:dyDescent="0.35">
      <c r="B49" s="2" t="s">
        <v>564</v>
      </c>
      <c r="F49">
        <v>0</v>
      </c>
    </row>
    <row r="50" spans="2:8" x14ac:dyDescent="0.35">
      <c r="B50" s="2" t="s">
        <v>573</v>
      </c>
      <c r="C50">
        <v>1</v>
      </c>
      <c r="D50">
        <v>1</v>
      </c>
      <c r="E50">
        <v>1</v>
      </c>
      <c r="G50">
        <v>1</v>
      </c>
      <c r="H50">
        <v>1</v>
      </c>
    </row>
    <row r="51" spans="2:8" ht="29" x14ac:dyDescent="0.35">
      <c r="B51" s="2" t="s">
        <v>566</v>
      </c>
      <c r="F51">
        <v>1</v>
      </c>
      <c r="G51">
        <v>1</v>
      </c>
      <c r="H51">
        <v>1</v>
      </c>
    </row>
    <row r="52" spans="2:8" x14ac:dyDescent="0.35">
      <c r="B52" s="2" t="s">
        <v>567</v>
      </c>
      <c r="F52">
        <v>1</v>
      </c>
      <c r="G52">
        <v>1</v>
      </c>
      <c r="H52">
        <v>1</v>
      </c>
    </row>
    <row r="53" spans="2:8" x14ac:dyDescent="0.35">
      <c r="B53" s="2" t="s">
        <v>575</v>
      </c>
      <c r="F53">
        <v>1</v>
      </c>
      <c r="G53">
        <v>1</v>
      </c>
      <c r="H53">
        <v>1</v>
      </c>
    </row>
    <row r="54" spans="2:8" x14ac:dyDescent="0.35">
      <c r="B54" s="2" t="s">
        <v>568</v>
      </c>
      <c r="F54">
        <v>1</v>
      </c>
      <c r="G54">
        <v>1</v>
      </c>
    </row>
    <row r="55" spans="2:8" x14ac:dyDescent="0.35">
      <c r="B55" s="2" t="s">
        <v>569</v>
      </c>
      <c r="F55">
        <v>1</v>
      </c>
      <c r="G55">
        <v>1</v>
      </c>
    </row>
    <row r="56" spans="2:8" x14ac:dyDescent="0.35">
      <c r="B56" s="2" t="s">
        <v>570</v>
      </c>
      <c r="F56">
        <v>1</v>
      </c>
      <c r="G56">
        <v>1</v>
      </c>
      <c r="H56">
        <v>1</v>
      </c>
    </row>
    <row r="57" spans="2:8" x14ac:dyDescent="0.35">
      <c r="B57" s="2" t="s">
        <v>571</v>
      </c>
      <c r="G57">
        <v>1</v>
      </c>
      <c r="H57">
        <v>1</v>
      </c>
    </row>
    <row r="58" spans="2:8" x14ac:dyDescent="0.35">
      <c r="B58" s="2" t="s">
        <v>572</v>
      </c>
      <c r="G58">
        <v>1</v>
      </c>
      <c r="H58">
        <v>1</v>
      </c>
    </row>
    <row r="59" spans="2:8" x14ac:dyDescent="0.35">
      <c r="B59" s="2" t="s">
        <v>576</v>
      </c>
      <c r="G59">
        <v>1</v>
      </c>
      <c r="H59">
        <v>1</v>
      </c>
    </row>
    <row r="60" spans="2:8" x14ac:dyDescent="0.35">
      <c r="B60" s="2" t="s">
        <v>577</v>
      </c>
      <c r="G60">
        <v>1</v>
      </c>
      <c r="H60">
        <v>1</v>
      </c>
    </row>
    <row r="61" spans="2:8" x14ac:dyDescent="0.35">
      <c r="B61" s="2" t="s">
        <v>578</v>
      </c>
      <c r="H61">
        <v>1</v>
      </c>
    </row>
    <row r="62" spans="2:8" x14ac:dyDescent="0.35">
      <c r="B62" s="2" t="s">
        <v>579</v>
      </c>
      <c r="H62">
        <v>1</v>
      </c>
    </row>
    <row r="63" spans="2:8" x14ac:dyDescent="0.35">
      <c r="B63" s="2" t="s">
        <v>580</v>
      </c>
      <c r="H63">
        <v>0</v>
      </c>
    </row>
    <row r="64" spans="2:8" x14ac:dyDescent="0.35">
      <c r="B64" s="2" t="s">
        <v>581</v>
      </c>
      <c r="H64">
        <v>1</v>
      </c>
    </row>
    <row r="65" spans="2:8" x14ac:dyDescent="0.35">
      <c r="B65" s="2" t="s">
        <v>582</v>
      </c>
      <c r="H65">
        <v>1</v>
      </c>
    </row>
    <row r="66" spans="2:8" x14ac:dyDescent="0.35">
      <c r="B66" s="2" t="s">
        <v>583</v>
      </c>
      <c r="H66">
        <v>1</v>
      </c>
    </row>
    <row r="67" spans="2:8" x14ac:dyDescent="0.35">
      <c r="B67" s="2" t="s">
        <v>584</v>
      </c>
      <c r="H67">
        <v>1</v>
      </c>
    </row>
    <row r="68" spans="2:8" x14ac:dyDescent="0.35">
      <c r="B68" s="2" t="s">
        <v>585</v>
      </c>
      <c r="H68">
        <v>1</v>
      </c>
    </row>
    <row r="69" spans="2:8" x14ac:dyDescent="0.35">
      <c r="B69" s="2" t="s">
        <v>586</v>
      </c>
      <c r="H69">
        <v>1</v>
      </c>
    </row>
    <row r="70" spans="2:8" x14ac:dyDescent="0.35">
      <c r="B70" s="2" t="s">
        <v>587</v>
      </c>
      <c r="H70">
        <v>1</v>
      </c>
    </row>
    <row r="71" spans="2:8" x14ac:dyDescent="0.35">
      <c r="B71" s="2" t="s">
        <v>588</v>
      </c>
      <c r="H71">
        <v>1</v>
      </c>
    </row>
  </sheetData>
  <conditionalFormatting sqref="C42:F42 H42:I42 F10:I25 F27:I28 C10:C28 F51:F59 C43:I50 G51:G60 C29:I41 H52:H72 F26:H26">
    <cfRule type="iconSet" priority="758">
      <iconSet iconSet="3Symbols">
        <cfvo type="percent" val="0"/>
        <cfvo type="num" val="1"/>
        <cfvo type="num" val="2"/>
      </iconSet>
    </cfRule>
  </conditionalFormatting>
  <conditionalFormatting sqref="D10:D28">
    <cfRule type="iconSet" priority="705">
      <iconSet iconSet="3Symbols">
        <cfvo type="percent" val="0"/>
        <cfvo type="num" val="1"/>
        <cfvo type="num" val="2"/>
      </iconSet>
    </cfRule>
  </conditionalFormatting>
  <conditionalFormatting sqref="E10:E28">
    <cfRule type="iconSet" priority="688">
      <iconSet iconSet="3Symbols">
        <cfvo type="percent" val="0"/>
        <cfvo type="num" val="1"/>
        <cfvo type="num" val="2"/>
      </iconSet>
    </cfRule>
  </conditionalFormatting>
  <conditionalFormatting sqref="F43:I43 F42 H42:I42 F27:I28 F30:I41 F50:I50 C33:F33">
    <cfRule type="iconSet" priority="5">
      <iconSet iconSet="3Symbols">
        <cfvo type="percent" val="0"/>
        <cfvo type="num" val="1"/>
        <cfvo type="num" val="2"/>
      </iconSet>
    </cfRule>
  </conditionalFormatting>
  <conditionalFormatting sqref="G47:G49 G51:G60">
    <cfRule type="iconSet" priority="771">
      <iconSet iconSet="3Symbols">
        <cfvo type="percent" val="0"/>
        <cfvo type="num" val="1"/>
        <cfvo type="num" val="2"/>
      </iconSet>
    </cfRule>
  </conditionalFormatting>
  <conditionalFormatting sqref="J27:J43 J50 J20:J25 J10:J17">
    <cfRule type="iconSet" priority="741">
      <iconSet>
        <cfvo type="percent" val="0"/>
        <cfvo type="num" val="1"/>
        <cfvo type="num" val="2"/>
      </iconSet>
    </cfRule>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676F5-6B65-4CAC-BD77-A409BB6F5CB2}">
  <dimension ref="A1:W118"/>
  <sheetViews>
    <sheetView topLeftCell="A46" zoomScale="87" zoomScaleNormal="70" workbookViewId="0">
      <selection activeCell="B57" sqref="B57:B60"/>
    </sheetView>
  </sheetViews>
  <sheetFormatPr defaultRowHeight="14.5" x14ac:dyDescent="0.35"/>
  <cols>
    <col min="1" max="1" width="28" customWidth="1"/>
    <col min="2" max="2" width="35.453125" style="2" customWidth="1"/>
    <col min="3" max="8" width="15.453125" customWidth="1"/>
    <col min="10" max="10" width="12.54296875" customWidth="1"/>
    <col min="17" max="17" width="13.1796875" customWidth="1"/>
  </cols>
  <sheetData>
    <row r="1" spans="1:23" x14ac:dyDescent="0.35">
      <c r="A1" s="1" t="s">
        <v>352</v>
      </c>
      <c r="C1">
        <f xml:space="preserve"> SUM(C3:C4) / (C3+ C4+ C7) * 100</f>
        <v>100</v>
      </c>
      <c r="D1">
        <f t="shared" ref="D1:H1" si="0" xml:space="preserve"> SUM(D3:D4) / (D3+ D4+ D7) * 100</f>
        <v>100</v>
      </c>
      <c r="E1">
        <f t="shared" si="0"/>
        <v>100</v>
      </c>
      <c r="F1">
        <f t="shared" si="0"/>
        <v>100</v>
      </c>
      <c r="G1">
        <f t="shared" si="0"/>
        <v>100</v>
      </c>
      <c r="H1">
        <f t="shared" si="0"/>
        <v>100</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96.610169491525426</v>
      </c>
      <c r="D2">
        <f t="shared" ref="D2:H2" si="1" xml:space="preserve"> SUM(D3:D4) / SUM(D3:D5) *100</f>
        <v>94.73684210526315</v>
      </c>
      <c r="E2">
        <f t="shared" si="1"/>
        <v>94.827586206896555</v>
      </c>
      <c r="F2">
        <f t="shared" si="1"/>
        <v>89.65517241379311</v>
      </c>
      <c r="G2">
        <f t="shared" si="1"/>
        <v>94.915254237288138</v>
      </c>
      <c r="H2">
        <f t="shared" si="1"/>
        <v>92.982456140350877</v>
      </c>
      <c r="J2" s="1" t="s">
        <v>13</v>
      </c>
      <c r="K2" s="10"/>
      <c r="L2" s="10"/>
      <c r="M2" s="10"/>
      <c r="Q2" s="1" t="s">
        <v>13</v>
      </c>
      <c r="R2" s="10"/>
      <c r="S2" s="10"/>
      <c r="T2" s="10"/>
    </row>
    <row r="3" spans="1:23" x14ac:dyDescent="0.35">
      <c r="A3" s="1" t="s">
        <v>242</v>
      </c>
      <c r="C3" s="2">
        <f>COUNTIF(C10:C68, 2)</f>
        <v>55</v>
      </c>
      <c r="D3" s="2">
        <f t="shared" ref="D3:H3" si="2">COUNTIF(D10:D68, 2)</f>
        <v>53</v>
      </c>
      <c r="E3" s="2">
        <f t="shared" si="2"/>
        <v>54</v>
      </c>
      <c r="F3" s="2">
        <f t="shared" si="2"/>
        <v>47</v>
      </c>
      <c r="G3" s="2">
        <f t="shared" si="2"/>
        <v>51</v>
      </c>
      <c r="H3" s="2">
        <f t="shared" si="2"/>
        <v>46</v>
      </c>
      <c r="J3" s="1" t="s">
        <v>14</v>
      </c>
      <c r="K3" s="10" cm="1">
        <f t="array" ref="K3">IFERROR(SUMPRODUCT((C10:C114&lt;&gt;"")*(D10:D114&lt;&gt;"")*(C10:C114=D10:D114))/SUMPRODUCT(--((C10:C114&lt;&gt;"")+(D10:D114&lt;&gt;"")&gt;0)),"")</f>
        <v>0.80263157894736847</v>
      </c>
      <c r="L3" s="10"/>
      <c r="M3" s="10"/>
      <c r="Q3" s="1" t="s">
        <v>14</v>
      </c>
      <c r="R3" s="10" cm="1">
        <f t="array" ref="R3">IFERROR(
   SUMPRODUCT((C10:C114&lt;&gt;"")*(D10:D114&lt;&gt;"")*
   ((C10:C114=D10:D114)+((C10:C114=1)*(D10:D114=2))+((C10:C114=2)*(D10:D114=1))))
   /
   SUMPRODUCT(--((C10:C114&lt;&gt;"")+(D10:D114&lt;&gt;"")&gt;0)),
"")</f>
        <v>0.81578947368421051</v>
      </c>
      <c r="S3" s="10"/>
      <c r="T3" s="10"/>
    </row>
    <row r="4" spans="1:23" x14ac:dyDescent="0.35">
      <c r="A4" s="1" t="s">
        <v>243</v>
      </c>
      <c r="C4">
        <f>COUNTIF(C10:C68, 1)</f>
        <v>2</v>
      </c>
      <c r="D4">
        <f t="shared" ref="D4:H4" si="3">COUNTIF(D10:D68, 1)</f>
        <v>1</v>
      </c>
      <c r="E4">
        <f t="shared" si="3"/>
        <v>1</v>
      </c>
      <c r="F4">
        <f t="shared" si="3"/>
        <v>5</v>
      </c>
      <c r="G4">
        <f t="shared" si="3"/>
        <v>5</v>
      </c>
      <c r="H4">
        <f t="shared" si="3"/>
        <v>7</v>
      </c>
      <c r="J4" s="1" t="s">
        <v>15</v>
      </c>
      <c r="K4" s="10" cm="1">
        <f t="array" ref="K4">IFERROR(SUMPRODUCT((C10:C114&lt;&gt;"")*(E10:E114&lt;&gt;"")*(C10:C114=E10:E114))/SUMPRODUCT(--((C10:C114&lt;&gt;"")+(E10:E114&lt;&gt;"")&gt;0)),"")</f>
        <v>0.82666666666666666</v>
      </c>
      <c r="L4" s="10" cm="1">
        <f t="array" ref="L4">IFERROR(SUMPRODUCT((E10:E114&lt;&gt;"")*(D10:D114&lt;&gt;"")*(E10:E114=D10:D114))/SUMPRODUCT(--((E10:E114&lt;&gt;"")+(D10:D114&lt;&gt;"")&gt;0)),"")</f>
        <v>0.91891891891891897</v>
      </c>
      <c r="M4" s="10"/>
      <c r="Q4" s="1" t="s">
        <v>15</v>
      </c>
      <c r="R4" s="10" cm="1">
        <f t="array" ref="R4">IFERROR(
   SUMPRODUCT((C10:C114&lt;&gt;"")*(E10:E114&lt;&gt;"")*
   ((C10:C114=E10:E114)+((C10:C114=1)*(E10:E114=2))+((C10:C114=2)*(E10:E114=1))))
   /
   SUMPRODUCT(--((C10:C114&lt;&gt;"")+(E10:E114&lt;&gt;"")&gt;0)),
"")</f>
        <v>0.84</v>
      </c>
      <c r="S4" s="10" cm="1">
        <f t="array" ref="S4">IFERROR(
   SUMPRODUCT((E10:E114&lt;&gt;"")*(D10:D114&lt;&gt;"")*
   ((E10:E114=D10:D114)+((E10:E114=1)*(D10:D114=2))+((E10:E114=2)*(D10:D114=1))))
   /
   SUMPRODUCT(--((E10:E114&lt;&gt;"")+(D10:D114&lt;&gt;"")&gt;0)),
"")</f>
        <v>0.91891891891891897</v>
      </c>
      <c r="T4" s="10"/>
    </row>
    <row r="5" spans="1:23" x14ac:dyDescent="0.35">
      <c r="A5" s="1" t="s">
        <v>244</v>
      </c>
      <c r="C5">
        <f>COUNTIF(C10:C68, 0)</f>
        <v>2</v>
      </c>
      <c r="D5">
        <f t="shared" ref="D5:H5" si="4">COUNTIF(D10:D68, 0)</f>
        <v>3</v>
      </c>
      <c r="E5">
        <f t="shared" si="4"/>
        <v>3</v>
      </c>
      <c r="F5">
        <f t="shared" si="4"/>
        <v>6</v>
      </c>
      <c r="G5">
        <f t="shared" si="4"/>
        <v>3</v>
      </c>
      <c r="H5">
        <f t="shared" si="4"/>
        <v>4</v>
      </c>
      <c r="J5" s="1" t="s">
        <v>16</v>
      </c>
      <c r="K5" s="11" cm="1">
        <f t="array" ref="K5">IFERROR(SUMPRODUCT((C10:C114&lt;&gt;"")*(F10:F114&lt;&gt;"")*(C10:C114=F10:F114))/SUMPRODUCT(--((C10:C114&lt;&gt;"")+(F10:F114&lt;&gt;"")&gt;0)),"")</f>
        <v>0.7432432432432432</v>
      </c>
      <c r="L5" s="11" cm="1">
        <f t="array" ref="L5">IFERROR(SUMPRODUCT((F10:F114&lt;&gt;"")*(D10:D114&lt;&gt;"")*(F10:F114=D10:D114))/SUMPRODUCT(--((F10:F114&lt;&gt;"")+(D10:D114&lt;&gt;"")&gt;0)),"")</f>
        <v>0.74025974025974028</v>
      </c>
      <c r="M5" s="11" cm="1">
        <f t="array" ref="M5">IFERROR(SUMPRODUCT((F10:F114&lt;&gt;"")*(E10:E114&lt;&gt;"")*(F10:F114=E10:E114))/SUMPRODUCT(--((F10:F114&lt;&gt;"")+(E10:E114&lt;&gt;"")&gt;0)),"")</f>
        <v>0.74025974025974028</v>
      </c>
      <c r="N5" s="10"/>
      <c r="O5" s="10"/>
      <c r="Q5" s="1" t="s">
        <v>16</v>
      </c>
      <c r="R5" s="11" cm="1">
        <f t="array" ref="R5">IFERROR(
   SUMPRODUCT((C10:C114&lt;&gt;"")*(F10:F114&lt;&gt;"")*
   ((C10:C114=F10:F114)+((C10:C114=1)*(F10:F114=2))+((C10:C114=2)*(F10:F114=1))))
   /
   SUMPRODUCT(--((C10:C114&lt;&gt;"")+(F10:F114&lt;&gt;"")&gt;0)),
"")</f>
        <v>0.81081081081081086</v>
      </c>
      <c r="S5" s="11" cm="1">
        <f t="array" ref="S5">IFERROR(
   SUMPRODUCT((F10:F114&lt;&gt;"")*(D10:D114&lt;&gt;"")*
   ((F10:F114=D10:D114)+((F10:F114=1)*(D10:D114=2))+((F10:F114=2)*(D10:D114=1))))
   /
   SUMPRODUCT(--((F10:F114&lt;&gt;"")+(D10:D114&lt;&gt;"")&gt;0)),
"")</f>
        <v>0.79220779220779225</v>
      </c>
      <c r="T5" s="11" cm="1">
        <f t="array" ref="T5">IFERROR(
   SUMPRODUCT((F10:F114&lt;&gt;"")*(E10:E114&lt;&gt;"")*
   ((F10:F114=E10:E114)+((F10:F114=1)*(E10:E114=2))+((F10:F114=2)*(E10:E114=1))))
   /
   SUMPRODUCT(--((F10:F114&lt;&gt;"")+(E10:E114&lt;&gt;"")&gt;0)),
"")</f>
        <v>0.79220779220779225</v>
      </c>
      <c r="U5" s="10"/>
      <c r="V5" s="10"/>
    </row>
    <row r="6" spans="1:23" x14ac:dyDescent="0.35">
      <c r="A6" s="1" t="s">
        <v>245</v>
      </c>
      <c r="C6">
        <f>COUNTIF(C70:C130,0) + COUNTIF(C70:C130,1)</f>
        <v>8</v>
      </c>
      <c r="D6">
        <f t="shared" ref="D6:H6" si="5">COUNTIF(D70:D130,0) + COUNTIF(D70:D130,1)</f>
        <v>15</v>
      </c>
      <c r="E6">
        <f t="shared" si="5"/>
        <v>14</v>
      </c>
      <c r="F6">
        <f t="shared" si="5"/>
        <v>13</v>
      </c>
      <c r="G6">
        <f t="shared" si="5"/>
        <v>11</v>
      </c>
      <c r="H6">
        <f t="shared" si="5"/>
        <v>11</v>
      </c>
      <c r="J6" s="1" t="s">
        <v>17</v>
      </c>
      <c r="K6" s="11" cm="1">
        <f t="array" ref="K6">IFERROR(SUMPRODUCT((C10:C114&lt;&gt;"")*(G10:G114&lt;&gt;"")*(C10:C114=G10:G114))/SUMPRODUCT(--((C10:C114&lt;&gt;"")+(G10:G114&lt;&gt;"")&gt;0)),"")</f>
        <v>0.79452054794520544</v>
      </c>
      <c r="L6" s="11" cm="1">
        <f t="array" ref="L6">SUMPRODUCT((D10:D114&lt;&gt;0)*(G10:G114&lt;&gt;0)) / SUMPRODUCT(((D10:D114&lt;&gt;0)+(G10:G114&lt;&gt;0)&gt;0)*1)</f>
        <v>0.83783783783783783</v>
      </c>
      <c r="M6" s="11" cm="1">
        <f t="array" ref="M6">IFERROR(SUMPRODUCT((G10:G114&lt;&gt;"")*(E10:E114&lt;&gt;"")*(G10:G114=E10:E114))/SUMPRODUCT(--((G10:G114&lt;&gt;"")+(E10:E114&lt;&gt;"")&gt;0)),"")</f>
        <v>0.81333333333333335</v>
      </c>
      <c r="N6" s="10" cm="1">
        <f t="array" ref="N6">IFERROR(SUMPRODUCT((G10:G114&lt;&gt;"")*(F10:F114&lt;&gt;"")*(G10:G114=F10:F114))/SUMPRODUCT(--((G10:G114&lt;&gt;"")+(F10:F114&lt;&gt;"")&gt;0)),"")</f>
        <v>0.88888888888888884</v>
      </c>
      <c r="O6" s="10"/>
      <c r="Q6" s="1" t="s">
        <v>17</v>
      </c>
      <c r="R6" s="11" cm="1">
        <f t="array" ref="R6">IFERROR(
   SUMPRODUCT((C10:C114&lt;&gt;"")*(G10:G114&lt;&gt;"")*
   ((C10:C114=G10:G114)+((C10:C114=1)*(G10:G114=2))+((C10:C114=2)*(G10:G114=1))))
   /
   SUMPRODUCT(--((C10:C114&lt;&gt;"")+(G10:G114&lt;&gt;"")&gt;0)),
"")</f>
        <v>0.86301369863013699</v>
      </c>
      <c r="S6" s="11" cm="1">
        <f t="array" ref="S6">IFERROR(
   SUMPRODUCT((D10:D114&lt;&gt;"")*(G10:G114&lt;&gt;"")*
   ((D10:D114=G10:G114)+((D10:D114=1)*(G10:G114=2))+((D10:D114=2)*(G10:G114=1))))
   /
   SUMPRODUCT(--((D10:D114&lt;&gt;"")+(G10:G114&lt;&gt;"")&gt;0)),
"")</f>
        <v>0.84210526315789469</v>
      </c>
      <c r="T6" s="11" cm="1">
        <f t="array" ref="T6">IFERROR(
   SUMPRODUCT((G10:G114&lt;&gt;"")*(E10:E114&lt;&gt;"")*
   ((G10:G114=E10:E114)+((G10:G114=1)*(E10:E114=2))+((G10:G114=2)*(E10:E114=1))))
   /
   SUMPRODUCT(--((G10:G114&lt;&gt;"")+(E10:E114&lt;&gt;"")&gt;0)),
"")</f>
        <v>0.8666666666666667</v>
      </c>
      <c r="U6" s="10" cm="1">
        <f t="array" ref="U6">IFERROR(
   SUMPRODUCT((F10:F114&lt;&gt;"")*(G10:G114&lt;&gt;"")*
   ((F10:F114=G10:G114)+((F10:F114=1)*(G10:G114=2))+((F10:F114=2)*(G10:G114=1))))
   /
   SUMPRODUCT(--((F10:F114&lt;&gt;"")+(G10:G114&lt;&gt;"")&gt;0)),
"")</f>
        <v>0.91666666666666663</v>
      </c>
      <c r="V6" s="10"/>
    </row>
    <row r="7" spans="1:23" x14ac:dyDescent="0.35">
      <c r="A7" s="1" t="s">
        <v>246</v>
      </c>
      <c r="C7">
        <f>COUNTIF(C70:C130,0)</f>
        <v>0</v>
      </c>
      <c r="D7">
        <f t="shared" ref="D7:H7" si="6">COUNTIF(D70:D130,0)</f>
        <v>0</v>
      </c>
      <c r="E7">
        <f t="shared" si="6"/>
        <v>0</v>
      </c>
      <c r="F7">
        <f t="shared" si="6"/>
        <v>0</v>
      </c>
      <c r="G7">
        <f t="shared" si="6"/>
        <v>0</v>
      </c>
      <c r="H7">
        <f t="shared" si="6"/>
        <v>0</v>
      </c>
      <c r="J7" s="1" t="s">
        <v>18</v>
      </c>
      <c r="K7" s="11" cm="1">
        <f t="array" ref="K7">IFERROR(SUMPRODUCT((C10:C114&lt;&gt;"")*(H10:H114&lt;&gt;"")*(C10:C114=H10:H114))/SUMPRODUCT(--((C10:C114&lt;&gt;"")+(H10:H114&lt;&gt;"")&gt;0)),"")</f>
        <v>0.75342465753424659</v>
      </c>
      <c r="L7" s="11" cm="1">
        <f t="array" ref="L7">IFERROR(SUMPRODUCT((H10:H114&lt;&gt;"")*(D10:D114&lt;&gt;"")*(H10:H114=D10:D114))/SUMPRODUCT(--((H10:H114&lt;&gt;"")+(D10:D114&lt;&gt;"")&gt;0)),"")</f>
        <v>0.72368421052631582</v>
      </c>
      <c r="M7" s="11" cm="1">
        <f t="array" ref="M7">IFERROR(SUMPRODUCT((H10:H114&lt;&gt;"")*(E10:E114&lt;&gt;"")*(H10:H114=E10:E114))/SUMPRODUCT(--((H10:H114&lt;&gt;"")+(E10:E114&lt;&gt;"")&gt;0)),"")</f>
        <v>0.7466666666666667</v>
      </c>
      <c r="N7" s="10" cm="1">
        <f t="array" ref="N7">IFERROR(SUMPRODUCT((F10:F114&lt;&gt;"")*(H10:H114&lt;&gt;"")*(F10:F114=H10:H114))/SUMPRODUCT(--((F10:F114&lt;&gt;"")+(H10:H114&lt;&gt;"")&gt;0)),"")</f>
        <v>0.82191780821917804</v>
      </c>
      <c r="O7" s="10" cm="1">
        <f t="array" ref="O7">IFERROR(SUMPRODUCT((G10:G114&lt;&gt;"")*(H10:H114&lt;&gt;"")*(G10:G114=H10:H114))/SUMPRODUCT(--((G10:G114&lt;&gt;"")+(H10:H114&lt;&gt;"")&gt;0)),"")</f>
        <v>0.90140845070422537</v>
      </c>
      <c r="Q7" s="1" t="s">
        <v>18</v>
      </c>
      <c r="R7" s="11" cm="1">
        <f t="array" ref="R7">IFERROR(
   SUMPRODUCT((C10:C114&lt;&gt;"")*(H10:H114&lt;&gt;"")*
   ((C10:C114=H10:H114)+((C10:C114=1)*(H10:H114=2))+((C10:C114=2)*(H10:H114=1))))
   /
   SUMPRODUCT(--((C10:C114&lt;&gt;"")+(H10:H114&lt;&gt;"")&gt;0)),
"")</f>
        <v>0.82191780821917804</v>
      </c>
      <c r="S7" s="11" cm="1">
        <f t="array" ref="S7">IFERROR(
   SUMPRODUCT((H10:H114&lt;&gt;"")*(D10:D114&lt;&gt;"")*
   ((H10:H114=D10:D114)+((H10:H114=1)*(D10:D114=2))+((H10:H114=2)*(D10:D114=1))))
   /
   SUMPRODUCT(--((H10:H114&lt;&gt;"")+(D10:D114&lt;&gt;"")&gt;0)),
"")</f>
        <v>0.80263157894736847</v>
      </c>
      <c r="T7" s="11" cm="1">
        <f t="array" ref="T7">IFERROR(
   SUMPRODUCT((H10:H114&lt;&gt;"")*(E10:E114&lt;&gt;"")*
   ((H10:H114=E10:E114)+((H10:H114=1)*(E10:E114=2))+((H10:H114=2)*(E10:E114=1))))
   /
   SUMPRODUCT(--((H10:H114&lt;&gt;"")+(E10:E114&lt;&gt;"")&gt;0)),
"")</f>
        <v>0.82666666666666666</v>
      </c>
      <c r="U7" s="10" cm="1">
        <f t="array" ref="U7">IFERROR(
   SUMPRODUCT((F10:F114&lt;&gt;"")*(H10:H114&lt;&gt;"")*
   ((F10:F114=H10:H114)+((F10:F114=1)*(H10:H114=2))+((F10:F114=2)*(H10:H114=1))))
   /
   SUMPRODUCT(--((F10:F114&lt;&gt;"")+(H10:H114&lt;&gt;"")&gt;0)),
"")</f>
        <v>0.87671232876712324</v>
      </c>
      <c r="V7" s="10" cm="1">
        <f t="array" ref="V7">IFERROR(
   SUMPRODUCT((H10:H114&lt;&gt;"")*(G10:G114&lt;&gt;"")*
   ((H10:H114=G10:G114)+((H10:H114=1)*(G10:G114=2))+((H10:H114=2)*(G10:G114=1))))
   /
   SUMPRODUCT(--((H10:H114&lt;&gt;"")+(G10:G114&lt;&gt;"")&gt;0)),
"")</f>
        <v>0.92957746478873238</v>
      </c>
    </row>
    <row r="8" spans="1:23" s="3" customFormat="1" x14ac:dyDescent="0.35">
      <c r="B8" s="4"/>
    </row>
    <row r="9" spans="1:23" s="1" customFormat="1" x14ac:dyDescent="0.35">
      <c r="B9" s="5"/>
      <c r="C9" s="1" t="s">
        <v>13</v>
      </c>
      <c r="D9" s="1" t="s">
        <v>14</v>
      </c>
      <c r="E9" s="1" t="s">
        <v>15</v>
      </c>
      <c r="F9" s="1" t="s">
        <v>16</v>
      </c>
      <c r="G9" s="1" t="s">
        <v>17</v>
      </c>
      <c r="H9" s="1" t="s">
        <v>18</v>
      </c>
    </row>
    <row r="10" spans="1:23" x14ac:dyDescent="0.35">
      <c r="A10" s="1" t="s">
        <v>461</v>
      </c>
      <c r="B10" s="2" t="s">
        <v>269</v>
      </c>
      <c r="C10">
        <v>2</v>
      </c>
      <c r="D10">
        <v>2</v>
      </c>
      <c r="E10">
        <v>2</v>
      </c>
      <c r="F10">
        <v>0</v>
      </c>
      <c r="G10">
        <v>2</v>
      </c>
      <c r="H10">
        <v>2</v>
      </c>
    </row>
    <row r="11" spans="1:23" x14ac:dyDescent="0.35">
      <c r="A11" s="1"/>
      <c r="B11" s="2" t="s">
        <v>589</v>
      </c>
      <c r="C11">
        <v>2</v>
      </c>
      <c r="D11">
        <v>2</v>
      </c>
      <c r="E11">
        <v>2</v>
      </c>
      <c r="F11">
        <v>0</v>
      </c>
      <c r="G11">
        <v>0</v>
      </c>
      <c r="H11">
        <v>0</v>
      </c>
    </row>
    <row r="12" spans="1:23" x14ac:dyDescent="0.35">
      <c r="A12" s="1"/>
      <c r="B12" s="2" t="s">
        <v>590</v>
      </c>
      <c r="C12">
        <v>2</v>
      </c>
      <c r="D12">
        <v>2</v>
      </c>
      <c r="E12">
        <v>2</v>
      </c>
      <c r="F12">
        <v>2</v>
      </c>
      <c r="G12">
        <v>2</v>
      </c>
      <c r="H12">
        <v>2</v>
      </c>
    </row>
    <row r="13" spans="1:23" x14ac:dyDescent="0.35">
      <c r="A13" s="1"/>
      <c r="B13" s="2" t="s">
        <v>591</v>
      </c>
      <c r="C13">
        <v>0</v>
      </c>
      <c r="D13">
        <v>0</v>
      </c>
      <c r="E13">
        <v>0</v>
      </c>
      <c r="F13">
        <v>0</v>
      </c>
      <c r="G13">
        <v>0</v>
      </c>
      <c r="H13">
        <v>0</v>
      </c>
    </row>
    <row r="14" spans="1:23" x14ac:dyDescent="0.35">
      <c r="A14" s="1"/>
      <c r="B14" s="2" t="s">
        <v>592</v>
      </c>
      <c r="C14">
        <v>2</v>
      </c>
      <c r="D14">
        <v>2</v>
      </c>
      <c r="E14">
        <v>2</v>
      </c>
      <c r="F14">
        <v>2</v>
      </c>
      <c r="G14">
        <v>2</v>
      </c>
      <c r="H14">
        <v>2</v>
      </c>
    </row>
    <row r="15" spans="1:23" x14ac:dyDescent="0.35">
      <c r="A15" s="1"/>
      <c r="B15" s="2" t="s">
        <v>593</v>
      </c>
      <c r="C15">
        <v>2</v>
      </c>
      <c r="D15">
        <v>2</v>
      </c>
      <c r="E15">
        <v>2</v>
      </c>
      <c r="F15">
        <v>2</v>
      </c>
      <c r="G15">
        <v>2</v>
      </c>
      <c r="H15">
        <v>2</v>
      </c>
    </row>
    <row r="16" spans="1:23" x14ac:dyDescent="0.35">
      <c r="B16" s="2" t="s">
        <v>594</v>
      </c>
      <c r="C16">
        <v>2</v>
      </c>
      <c r="D16">
        <v>2</v>
      </c>
      <c r="E16">
        <v>2</v>
      </c>
      <c r="F16">
        <v>2</v>
      </c>
      <c r="G16">
        <v>2</v>
      </c>
      <c r="H16">
        <v>2</v>
      </c>
    </row>
    <row r="17" spans="1:8" x14ac:dyDescent="0.35">
      <c r="A17" s="1" t="s">
        <v>6</v>
      </c>
      <c r="B17" s="2" t="s">
        <v>602</v>
      </c>
      <c r="C17">
        <v>2</v>
      </c>
      <c r="D17">
        <v>2</v>
      </c>
      <c r="E17">
        <v>2</v>
      </c>
      <c r="F17">
        <v>3</v>
      </c>
      <c r="G17">
        <v>2</v>
      </c>
      <c r="H17">
        <v>2</v>
      </c>
    </row>
    <row r="18" spans="1:8" ht="29" x14ac:dyDescent="0.35">
      <c r="A18" s="1"/>
      <c r="B18" s="2" t="s">
        <v>603</v>
      </c>
      <c r="C18">
        <v>2</v>
      </c>
      <c r="D18">
        <v>2</v>
      </c>
      <c r="E18">
        <v>2</v>
      </c>
      <c r="F18">
        <v>2</v>
      </c>
      <c r="G18">
        <v>2</v>
      </c>
      <c r="H18">
        <v>2</v>
      </c>
    </row>
    <row r="19" spans="1:8" x14ac:dyDescent="0.35">
      <c r="A19" s="1"/>
      <c r="B19" s="2" t="s">
        <v>604</v>
      </c>
      <c r="C19">
        <v>2</v>
      </c>
      <c r="D19">
        <v>2</v>
      </c>
      <c r="E19">
        <v>2</v>
      </c>
      <c r="F19">
        <v>0</v>
      </c>
      <c r="G19">
        <v>2</v>
      </c>
      <c r="H19">
        <v>2</v>
      </c>
    </row>
    <row r="20" spans="1:8" x14ac:dyDescent="0.35">
      <c r="A20" s="1"/>
      <c r="B20" s="2" t="s">
        <v>641</v>
      </c>
      <c r="C20">
        <v>2</v>
      </c>
      <c r="D20">
        <v>2</v>
      </c>
      <c r="E20">
        <v>2</v>
      </c>
      <c r="F20">
        <v>0</v>
      </c>
      <c r="G20">
        <v>2</v>
      </c>
      <c r="H20">
        <v>0</v>
      </c>
    </row>
    <row r="21" spans="1:8" ht="29" x14ac:dyDescent="0.35">
      <c r="A21" s="1"/>
      <c r="B21" s="2" t="s">
        <v>605</v>
      </c>
      <c r="C21">
        <v>2</v>
      </c>
      <c r="D21">
        <v>2</v>
      </c>
      <c r="E21">
        <v>2</v>
      </c>
      <c r="F21">
        <v>2</v>
      </c>
      <c r="G21">
        <v>2</v>
      </c>
      <c r="H21">
        <v>2</v>
      </c>
    </row>
    <row r="22" spans="1:8" x14ac:dyDescent="0.35">
      <c r="A22" s="1"/>
      <c r="B22" s="2" t="s">
        <v>606</v>
      </c>
      <c r="C22">
        <v>2</v>
      </c>
      <c r="D22">
        <v>2</v>
      </c>
      <c r="E22">
        <v>2</v>
      </c>
      <c r="F22">
        <v>2</v>
      </c>
      <c r="G22">
        <v>2</v>
      </c>
      <c r="H22">
        <v>2</v>
      </c>
    </row>
    <row r="23" spans="1:8" x14ac:dyDescent="0.35">
      <c r="A23" s="1"/>
      <c r="B23" s="2" t="s">
        <v>607</v>
      </c>
      <c r="C23">
        <v>2</v>
      </c>
      <c r="D23">
        <v>2</v>
      </c>
      <c r="E23">
        <v>2</v>
      </c>
      <c r="F23">
        <v>2</v>
      </c>
      <c r="G23">
        <v>2</v>
      </c>
      <c r="H23">
        <v>2</v>
      </c>
    </row>
    <row r="24" spans="1:8" ht="29" x14ac:dyDescent="0.35">
      <c r="A24" s="1"/>
      <c r="B24" s="2" t="s">
        <v>608</v>
      </c>
      <c r="C24">
        <v>2</v>
      </c>
      <c r="D24">
        <v>2</v>
      </c>
      <c r="E24">
        <v>2</v>
      </c>
      <c r="F24">
        <v>2</v>
      </c>
      <c r="G24">
        <v>2</v>
      </c>
      <c r="H24">
        <v>2</v>
      </c>
    </row>
    <row r="25" spans="1:8" x14ac:dyDescent="0.35">
      <c r="A25" s="1"/>
      <c r="B25" s="2" t="s">
        <v>609</v>
      </c>
      <c r="C25">
        <v>2</v>
      </c>
      <c r="D25">
        <v>2</v>
      </c>
      <c r="E25">
        <v>2</v>
      </c>
      <c r="F25">
        <v>2</v>
      </c>
      <c r="G25">
        <v>2</v>
      </c>
      <c r="H25">
        <v>2</v>
      </c>
    </row>
    <row r="26" spans="1:8" x14ac:dyDescent="0.35">
      <c r="A26" s="1"/>
      <c r="B26" s="2" t="s">
        <v>611</v>
      </c>
      <c r="C26">
        <v>2</v>
      </c>
      <c r="D26">
        <v>2</v>
      </c>
      <c r="E26">
        <v>2</v>
      </c>
      <c r="F26">
        <v>2</v>
      </c>
      <c r="G26">
        <v>2</v>
      </c>
      <c r="H26">
        <v>2</v>
      </c>
    </row>
    <row r="27" spans="1:8" x14ac:dyDescent="0.35">
      <c r="A27" s="1"/>
      <c r="B27" s="2" t="s">
        <v>612</v>
      </c>
      <c r="C27">
        <v>2</v>
      </c>
      <c r="D27">
        <v>2</v>
      </c>
      <c r="E27">
        <v>2</v>
      </c>
      <c r="F27">
        <v>2</v>
      </c>
      <c r="G27">
        <v>2</v>
      </c>
      <c r="H27">
        <v>2</v>
      </c>
    </row>
    <row r="28" spans="1:8" ht="29" x14ac:dyDescent="0.35">
      <c r="A28" s="1"/>
      <c r="B28" s="2" t="s">
        <v>613</v>
      </c>
      <c r="C28">
        <v>2</v>
      </c>
      <c r="D28">
        <v>2</v>
      </c>
      <c r="E28">
        <v>2</v>
      </c>
      <c r="F28">
        <v>2</v>
      </c>
      <c r="G28">
        <v>2</v>
      </c>
      <c r="H28">
        <v>2</v>
      </c>
    </row>
    <row r="29" spans="1:8" x14ac:dyDescent="0.35">
      <c r="A29" s="1"/>
      <c r="B29" s="2" t="s">
        <v>615</v>
      </c>
      <c r="C29">
        <v>2</v>
      </c>
      <c r="D29">
        <v>2</v>
      </c>
      <c r="E29">
        <v>2</v>
      </c>
      <c r="F29">
        <v>2</v>
      </c>
      <c r="G29">
        <v>2</v>
      </c>
      <c r="H29">
        <v>2</v>
      </c>
    </row>
    <row r="30" spans="1:8" x14ac:dyDescent="0.35">
      <c r="A30" s="1"/>
      <c r="B30" s="2" t="s">
        <v>616</v>
      </c>
      <c r="C30">
        <v>2</v>
      </c>
      <c r="D30">
        <v>2</v>
      </c>
      <c r="E30">
        <v>2</v>
      </c>
      <c r="F30">
        <v>2</v>
      </c>
      <c r="G30">
        <v>2</v>
      </c>
      <c r="H30">
        <v>2</v>
      </c>
    </row>
    <row r="31" spans="1:8" ht="29" x14ac:dyDescent="0.35">
      <c r="A31" s="1"/>
      <c r="B31" s="2" t="s">
        <v>643</v>
      </c>
      <c r="C31">
        <v>2</v>
      </c>
      <c r="D31">
        <v>2</v>
      </c>
      <c r="E31">
        <v>2</v>
      </c>
      <c r="F31">
        <v>2</v>
      </c>
      <c r="G31">
        <v>2</v>
      </c>
      <c r="H31">
        <v>2</v>
      </c>
    </row>
    <row r="32" spans="1:8" ht="29" x14ac:dyDescent="0.35">
      <c r="A32" s="1"/>
      <c r="B32" s="2" t="s">
        <v>642</v>
      </c>
      <c r="C32">
        <v>2</v>
      </c>
      <c r="D32">
        <v>2</v>
      </c>
      <c r="E32">
        <v>2</v>
      </c>
      <c r="F32">
        <v>2</v>
      </c>
      <c r="G32">
        <v>2</v>
      </c>
      <c r="H32">
        <v>2</v>
      </c>
    </row>
    <row r="33" spans="1:8" ht="29" x14ac:dyDescent="0.35">
      <c r="A33" s="1"/>
      <c r="B33" s="2" t="s">
        <v>617</v>
      </c>
      <c r="C33">
        <v>2</v>
      </c>
      <c r="D33">
        <v>2</v>
      </c>
      <c r="E33">
        <v>2</v>
      </c>
      <c r="F33">
        <v>2</v>
      </c>
      <c r="G33">
        <v>2</v>
      </c>
      <c r="H33">
        <v>2</v>
      </c>
    </row>
    <row r="34" spans="1:8" x14ac:dyDescent="0.35">
      <c r="A34" s="1"/>
      <c r="B34" s="2" t="s">
        <v>619</v>
      </c>
      <c r="C34">
        <v>2</v>
      </c>
      <c r="D34">
        <v>2</v>
      </c>
      <c r="E34">
        <v>2</v>
      </c>
      <c r="F34">
        <v>2</v>
      </c>
      <c r="G34">
        <v>2</v>
      </c>
      <c r="H34">
        <v>2</v>
      </c>
    </row>
    <row r="35" spans="1:8" x14ac:dyDescent="0.35">
      <c r="A35" s="1"/>
      <c r="B35" s="2" t="s">
        <v>620</v>
      </c>
      <c r="C35">
        <v>2</v>
      </c>
      <c r="D35">
        <v>2</v>
      </c>
      <c r="E35">
        <v>2</v>
      </c>
      <c r="F35">
        <v>2</v>
      </c>
      <c r="G35">
        <v>2</v>
      </c>
      <c r="H35">
        <v>2</v>
      </c>
    </row>
    <row r="36" spans="1:8" ht="29" x14ac:dyDescent="0.35">
      <c r="A36" s="1"/>
      <c r="B36" s="2" t="s">
        <v>621</v>
      </c>
      <c r="C36">
        <v>2</v>
      </c>
      <c r="D36">
        <v>2</v>
      </c>
      <c r="E36">
        <v>2</v>
      </c>
      <c r="F36">
        <v>2</v>
      </c>
      <c r="G36">
        <v>2</v>
      </c>
      <c r="H36">
        <v>2</v>
      </c>
    </row>
    <row r="37" spans="1:8" x14ac:dyDescent="0.35">
      <c r="A37" s="1"/>
      <c r="B37" s="2" t="s">
        <v>622</v>
      </c>
      <c r="C37">
        <v>2</v>
      </c>
      <c r="D37">
        <v>2</v>
      </c>
      <c r="E37">
        <v>2</v>
      </c>
      <c r="F37">
        <v>2</v>
      </c>
      <c r="G37">
        <v>2</v>
      </c>
      <c r="H37">
        <v>2</v>
      </c>
    </row>
    <row r="38" spans="1:8" ht="29" x14ac:dyDescent="0.35">
      <c r="B38" s="2" t="s">
        <v>624</v>
      </c>
      <c r="C38">
        <v>2</v>
      </c>
      <c r="D38">
        <v>2</v>
      </c>
      <c r="E38">
        <v>2</v>
      </c>
      <c r="F38">
        <v>2</v>
      </c>
      <c r="G38">
        <v>2</v>
      </c>
      <c r="H38">
        <v>2</v>
      </c>
    </row>
    <row r="39" spans="1:8" x14ac:dyDescent="0.35">
      <c r="B39" s="2" t="s">
        <v>625</v>
      </c>
      <c r="C39">
        <v>2</v>
      </c>
      <c r="D39">
        <v>2</v>
      </c>
      <c r="E39">
        <v>2</v>
      </c>
      <c r="F39">
        <v>2</v>
      </c>
      <c r="G39">
        <v>2</v>
      </c>
      <c r="H39">
        <v>2</v>
      </c>
    </row>
    <row r="40" spans="1:8" x14ac:dyDescent="0.35">
      <c r="B40" s="2" t="s">
        <v>626</v>
      </c>
      <c r="C40">
        <v>2</v>
      </c>
      <c r="D40">
        <v>2</v>
      </c>
      <c r="E40">
        <v>2</v>
      </c>
      <c r="F40">
        <v>2</v>
      </c>
      <c r="G40">
        <v>2</v>
      </c>
      <c r="H40">
        <v>2</v>
      </c>
    </row>
    <row r="41" spans="1:8" ht="29" x14ac:dyDescent="0.35">
      <c r="B41" s="2" t="s">
        <v>627</v>
      </c>
      <c r="C41">
        <v>2</v>
      </c>
      <c r="D41">
        <v>2</v>
      </c>
      <c r="E41">
        <v>2</v>
      </c>
      <c r="F41">
        <v>2</v>
      </c>
      <c r="G41">
        <v>2</v>
      </c>
      <c r="H41">
        <v>2</v>
      </c>
    </row>
    <row r="42" spans="1:8" x14ac:dyDescent="0.35">
      <c r="B42" s="2" t="s">
        <v>628</v>
      </c>
      <c r="C42">
        <v>2</v>
      </c>
      <c r="D42">
        <v>2</v>
      </c>
      <c r="E42">
        <v>2</v>
      </c>
      <c r="F42">
        <v>2</v>
      </c>
      <c r="G42">
        <v>2</v>
      </c>
    </row>
    <row r="43" spans="1:8" ht="29" x14ac:dyDescent="0.35">
      <c r="B43" s="2" t="s">
        <v>629</v>
      </c>
      <c r="C43">
        <v>2</v>
      </c>
      <c r="D43">
        <v>2</v>
      </c>
      <c r="E43">
        <v>2</v>
      </c>
      <c r="F43">
        <v>2</v>
      </c>
      <c r="G43">
        <v>2</v>
      </c>
    </row>
    <row r="44" spans="1:8" x14ac:dyDescent="0.35">
      <c r="B44" s="2" t="s">
        <v>630</v>
      </c>
      <c r="C44">
        <v>2</v>
      </c>
      <c r="D44">
        <v>2</v>
      </c>
      <c r="E44">
        <v>2</v>
      </c>
      <c r="F44">
        <v>2</v>
      </c>
      <c r="G44">
        <v>2</v>
      </c>
      <c r="H44">
        <v>2</v>
      </c>
    </row>
    <row r="45" spans="1:8" x14ac:dyDescent="0.35">
      <c r="A45" s="1"/>
      <c r="B45" s="2" t="s">
        <v>631</v>
      </c>
      <c r="C45">
        <v>2</v>
      </c>
      <c r="D45">
        <v>2</v>
      </c>
      <c r="E45">
        <v>2</v>
      </c>
      <c r="F45">
        <v>2</v>
      </c>
      <c r="G45">
        <v>2</v>
      </c>
      <c r="H45">
        <v>2</v>
      </c>
    </row>
    <row r="46" spans="1:8" x14ac:dyDescent="0.35">
      <c r="A46" s="1"/>
      <c r="B46" s="2" t="s">
        <v>632</v>
      </c>
      <c r="C46">
        <v>2</v>
      </c>
      <c r="D46">
        <v>2</v>
      </c>
      <c r="E46">
        <v>2</v>
      </c>
      <c r="F46">
        <v>2</v>
      </c>
      <c r="G46">
        <v>2</v>
      </c>
      <c r="H46">
        <v>2</v>
      </c>
    </row>
    <row r="47" spans="1:8" x14ac:dyDescent="0.35">
      <c r="A47" s="1"/>
      <c r="B47" s="2" t="s">
        <v>625</v>
      </c>
      <c r="C47">
        <v>2</v>
      </c>
      <c r="F47">
        <v>2</v>
      </c>
      <c r="G47">
        <v>2</v>
      </c>
      <c r="H47">
        <v>2</v>
      </c>
    </row>
    <row r="48" spans="1:8" ht="29" x14ac:dyDescent="0.35">
      <c r="A48" s="1"/>
      <c r="B48" s="2" t="s">
        <v>633</v>
      </c>
      <c r="C48">
        <v>2</v>
      </c>
      <c r="D48">
        <v>2</v>
      </c>
      <c r="E48">
        <v>2</v>
      </c>
      <c r="F48">
        <v>2</v>
      </c>
      <c r="G48">
        <v>2</v>
      </c>
      <c r="H48">
        <v>2</v>
      </c>
    </row>
    <row r="49" spans="1:8" x14ac:dyDescent="0.35">
      <c r="A49" s="1"/>
      <c r="B49" s="2" t="s">
        <v>634</v>
      </c>
      <c r="C49">
        <v>2</v>
      </c>
      <c r="D49">
        <v>2</v>
      </c>
      <c r="E49">
        <v>2</v>
      </c>
      <c r="F49">
        <v>2</v>
      </c>
      <c r="G49">
        <v>1</v>
      </c>
      <c r="H49">
        <v>1</v>
      </c>
    </row>
    <row r="50" spans="1:8" ht="29" x14ac:dyDescent="0.35">
      <c r="A50" s="1"/>
      <c r="B50" s="2" t="s">
        <v>662</v>
      </c>
      <c r="C50">
        <v>2</v>
      </c>
      <c r="D50">
        <v>2</v>
      </c>
      <c r="E50">
        <v>0</v>
      </c>
      <c r="F50">
        <v>2</v>
      </c>
      <c r="G50">
        <v>2</v>
      </c>
      <c r="H50">
        <v>2</v>
      </c>
    </row>
    <row r="51" spans="1:8" ht="29" x14ac:dyDescent="0.35">
      <c r="A51" s="1"/>
      <c r="B51" s="2" t="s">
        <v>663</v>
      </c>
      <c r="C51">
        <v>2</v>
      </c>
      <c r="D51">
        <v>2</v>
      </c>
      <c r="E51">
        <v>2</v>
      </c>
      <c r="F51">
        <v>1</v>
      </c>
      <c r="G51">
        <v>2</v>
      </c>
      <c r="H51">
        <v>2</v>
      </c>
    </row>
    <row r="52" spans="1:8" x14ac:dyDescent="0.35">
      <c r="B52" s="2" t="s">
        <v>636</v>
      </c>
      <c r="C52">
        <v>2</v>
      </c>
      <c r="D52">
        <v>2</v>
      </c>
      <c r="E52">
        <v>2</v>
      </c>
      <c r="F52">
        <v>2</v>
      </c>
      <c r="G52">
        <v>2</v>
      </c>
      <c r="H52">
        <v>2</v>
      </c>
    </row>
    <row r="53" spans="1:8" x14ac:dyDescent="0.35">
      <c r="B53" s="2" t="s">
        <v>637</v>
      </c>
      <c r="C53">
        <v>2</v>
      </c>
      <c r="E53">
        <v>2</v>
      </c>
      <c r="F53">
        <v>2</v>
      </c>
      <c r="G53">
        <v>2</v>
      </c>
      <c r="H53">
        <v>2</v>
      </c>
    </row>
    <row r="54" spans="1:8" x14ac:dyDescent="0.35">
      <c r="B54" s="2" t="s">
        <v>638</v>
      </c>
      <c r="C54">
        <v>2</v>
      </c>
      <c r="D54">
        <v>2</v>
      </c>
      <c r="E54">
        <v>2</v>
      </c>
      <c r="F54">
        <v>2</v>
      </c>
      <c r="G54">
        <v>2</v>
      </c>
      <c r="H54">
        <v>2</v>
      </c>
    </row>
    <row r="55" spans="1:8" x14ac:dyDescent="0.35">
      <c r="B55" s="2" t="s">
        <v>639</v>
      </c>
      <c r="C55">
        <v>2</v>
      </c>
      <c r="D55">
        <v>0</v>
      </c>
      <c r="E55">
        <v>2</v>
      </c>
      <c r="F55">
        <v>2</v>
      </c>
      <c r="G55">
        <v>2</v>
      </c>
      <c r="H55">
        <v>2</v>
      </c>
    </row>
    <row r="56" spans="1:8" ht="43.5" x14ac:dyDescent="0.35">
      <c r="A56" s="1" t="s">
        <v>284</v>
      </c>
      <c r="B56" s="2" t="s">
        <v>610</v>
      </c>
      <c r="C56">
        <v>1</v>
      </c>
      <c r="D56">
        <v>1</v>
      </c>
      <c r="E56">
        <v>1</v>
      </c>
      <c r="F56">
        <v>1</v>
      </c>
      <c r="G56">
        <v>1</v>
      </c>
      <c r="H56">
        <v>1</v>
      </c>
    </row>
    <row r="57" spans="1:8" ht="29" x14ac:dyDescent="0.35">
      <c r="A57" s="1"/>
      <c r="B57" s="2" t="s">
        <v>614</v>
      </c>
      <c r="C57">
        <v>2</v>
      </c>
      <c r="D57">
        <v>2</v>
      </c>
      <c r="E57">
        <v>2</v>
      </c>
      <c r="F57">
        <v>2</v>
      </c>
      <c r="G57">
        <v>2</v>
      </c>
      <c r="H57">
        <v>2</v>
      </c>
    </row>
    <row r="58" spans="1:8" ht="29" x14ac:dyDescent="0.35">
      <c r="A58" s="1"/>
      <c r="B58" s="2" t="s">
        <v>618</v>
      </c>
      <c r="C58">
        <v>2</v>
      </c>
      <c r="D58">
        <v>2</v>
      </c>
      <c r="E58">
        <v>2</v>
      </c>
      <c r="F58">
        <v>2</v>
      </c>
      <c r="G58">
        <v>2</v>
      </c>
      <c r="H58">
        <v>2</v>
      </c>
    </row>
    <row r="59" spans="1:8" x14ac:dyDescent="0.35">
      <c r="A59" s="1"/>
      <c r="B59" s="2" t="s">
        <v>623</v>
      </c>
      <c r="C59">
        <v>2</v>
      </c>
      <c r="D59">
        <v>2</v>
      </c>
      <c r="E59">
        <v>2</v>
      </c>
      <c r="F59">
        <v>2</v>
      </c>
      <c r="G59">
        <v>2</v>
      </c>
      <c r="H59">
        <v>2</v>
      </c>
    </row>
    <row r="60" spans="1:8" ht="29" x14ac:dyDescent="0.35">
      <c r="A60" s="1"/>
      <c r="B60" s="2" t="s">
        <v>650</v>
      </c>
      <c r="C60">
        <v>0</v>
      </c>
      <c r="D60">
        <v>0</v>
      </c>
      <c r="E60">
        <v>0</v>
      </c>
      <c r="F60">
        <v>0</v>
      </c>
      <c r="G60">
        <v>0</v>
      </c>
      <c r="H60">
        <v>0</v>
      </c>
    </row>
    <row r="61" spans="1:8" x14ac:dyDescent="0.35">
      <c r="A61" s="1"/>
      <c r="B61" s="2" t="s">
        <v>644</v>
      </c>
      <c r="C61">
        <v>2</v>
      </c>
      <c r="D61">
        <v>2</v>
      </c>
      <c r="E61">
        <v>2</v>
      </c>
      <c r="F61">
        <v>2</v>
      </c>
      <c r="G61">
        <v>2</v>
      </c>
      <c r="H61">
        <v>2</v>
      </c>
    </row>
    <row r="62" spans="1:8" x14ac:dyDescent="0.35">
      <c r="A62" s="1" t="s">
        <v>395</v>
      </c>
      <c r="B62" s="2" t="s">
        <v>595</v>
      </c>
      <c r="C62">
        <v>2</v>
      </c>
      <c r="D62">
        <v>2</v>
      </c>
      <c r="E62">
        <v>2</v>
      </c>
      <c r="F62">
        <v>1</v>
      </c>
      <c r="G62">
        <v>1</v>
      </c>
      <c r="H62">
        <v>1</v>
      </c>
    </row>
    <row r="63" spans="1:8" x14ac:dyDescent="0.35">
      <c r="A63" s="1"/>
      <c r="B63" s="2" t="s">
        <v>596</v>
      </c>
      <c r="C63">
        <v>2</v>
      </c>
      <c r="D63">
        <v>2</v>
      </c>
      <c r="E63">
        <v>2</v>
      </c>
      <c r="F63">
        <v>1</v>
      </c>
      <c r="G63">
        <v>1</v>
      </c>
      <c r="H63">
        <v>1</v>
      </c>
    </row>
    <row r="64" spans="1:8" x14ac:dyDescent="0.35">
      <c r="A64" s="1"/>
      <c r="B64" s="2" t="s">
        <v>597</v>
      </c>
      <c r="C64">
        <v>2</v>
      </c>
      <c r="D64">
        <v>2</v>
      </c>
      <c r="E64">
        <v>2</v>
      </c>
      <c r="F64">
        <v>2</v>
      </c>
      <c r="G64">
        <v>2</v>
      </c>
      <c r="H64">
        <v>2</v>
      </c>
    </row>
    <row r="65" spans="1:9" x14ac:dyDescent="0.35">
      <c r="A65" s="1"/>
      <c r="B65" s="2" t="s">
        <v>599</v>
      </c>
      <c r="C65">
        <v>2</v>
      </c>
      <c r="D65">
        <v>2</v>
      </c>
      <c r="E65">
        <v>2</v>
      </c>
      <c r="F65">
        <v>2</v>
      </c>
      <c r="G65">
        <v>2</v>
      </c>
      <c r="H65">
        <v>2</v>
      </c>
    </row>
    <row r="66" spans="1:9" x14ac:dyDescent="0.35">
      <c r="A66" s="1"/>
      <c r="B66" s="2" t="s">
        <v>600</v>
      </c>
      <c r="C66">
        <v>2</v>
      </c>
      <c r="D66">
        <v>2</v>
      </c>
      <c r="E66">
        <v>2</v>
      </c>
      <c r="F66">
        <v>1</v>
      </c>
      <c r="G66">
        <v>1</v>
      </c>
      <c r="H66">
        <v>1</v>
      </c>
    </row>
    <row r="67" spans="1:9" x14ac:dyDescent="0.35">
      <c r="A67" s="1"/>
      <c r="B67" s="2" t="s">
        <v>601</v>
      </c>
      <c r="C67">
        <v>2</v>
      </c>
      <c r="D67">
        <v>2</v>
      </c>
      <c r="E67">
        <v>2</v>
      </c>
      <c r="F67">
        <v>2</v>
      </c>
      <c r="G67">
        <v>2</v>
      </c>
      <c r="H67">
        <v>1</v>
      </c>
    </row>
    <row r="68" spans="1:9" x14ac:dyDescent="0.35">
      <c r="A68" s="1"/>
      <c r="B68" s="2" t="s">
        <v>640</v>
      </c>
      <c r="C68">
        <v>1</v>
      </c>
      <c r="D68">
        <v>2</v>
      </c>
      <c r="E68">
        <v>2</v>
      </c>
      <c r="F68">
        <v>2</v>
      </c>
      <c r="G68">
        <v>2</v>
      </c>
      <c r="H68">
        <v>1</v>
      </c>
    </row>
    <row r="69" spans="1:9" s="3" customFormat="1" x14ac:dyDescent="0.35">
      <c r="B69" s="4"/>
      <c r="F69" s="4"/>
      <c r="G69" s="4"/>
      <c r="H69" s="4"/>
      <c r="I69" s="4"/>
    </row>
    <row r="70" spans="1:9" x14ac:dyDescent="0.35">
      <c r="B70" s="2" t="s">
        <v>645</v>
      </c>
      <c r="C70">
        <v>1</v>
      </c>
    </row>
    <row r="71" spans="1:9" x14ac:dyDescent="0.35">
      <c r="B71" s="2" t="s">
        <v>646</v>
      </c>
      <c r="C71">
        <v>1</v>
      </c>
      <c r="D71">
        <v>1</v>
      </c>
      <c r="E71">
        <v>1</v>
      </c>
      <c r="H71">
        <v>1</v>
      </c>
    </row>
    <row r="72" spans="1:9" x14ac:dyDescent="0.35">
      <c r="B72" s="2" t="s">
        <v>653</v>
      </c>
      <c r="D72">
        <v>1</v>
      </c>
      <c r="E72">
        <v>1</v>
      </c>
      <c r="F72">
        <v>1</v>
      </c>
      <c r="G72">
        <v>1</v>
      </c>
      <c r="H72">
        <v>1</v>
      </c>
    </row>
    <row r="73" spans="1:9" x14ac:dyDescent="0.35">
      <c r="B73" s="2" t="s">
        <v>654</v>
      </c>
      <c r="D73">
        <v>1</v>
      </c>
      <c r="E73">
        <v>1</v>
      </c>
      <c r="F73">
        <v>1</v>
      </c>
      <c r="G73">
        <v>1</v>
      </c>
      <c r="H73">
        <v>1</v>
      </c>
    </row>
    <row r="74" spans="1:9" x14ac:dyDescent="0.35">
      <c r="B74" s="2" t="s">
        <v>655</v>
      </c>
      <c r="D74">
        <v>1</v>
      </c>
      <c r="E74">
        <v>1</v>
      </c>
    </row>
    <row r="75" spans="1:9" x14ac:dyDescent="0.35">
      <c r="B75" s="2" t="s">
        <v>656</v>
      </c>
      <c r="D75">
        <v>1</v>
      </c>
      <c r="E75">
        <v>1</v>
      </c>
    </row>
    <row r="76" spans="1:9" x14ac:dyDescent="0.35">
      <c r="B76" t="s">
        <v>657</v>
      </c>
      <c r="D76">
        <v>1</v>
      </c>
      <c r="E76">
        <v>1</v>
      </c>
    </row>
    <row r="77" spans="1:9" x14ac:dyDescent="0.35">
      <c r="B77" s="2" t="s">
        <v>598</v>
      </c>
      <c r="C77">
        <v>1</v>
      </c>
      <c r="F77">
        <v>1</v>
      </c>
    </row>
    <row r="78" spans="1:9" ht="29" x14ac:dyDescent="0.35">
      <c r="B78" s="2" t="s">
        <v>647</v>
      </c>
      <c r="C78">
        <v>1</v>
      </c>
      <c r="D78">
        <v>1</v>
      </c>
      <c r="E78">
        <v>1</v>
      </c>
      <c r="F78">
        <v>1</v>
      </c>
      <c r="G78">
        <v>1</v>
      </c>
    </row>
    <row r="79" spans="1:9" ht="29" x14ac:dyDescent="0.35">
      <c r="B79" s="2" t="s">
        <v>648</v>
      </c>
      <c r="C79">
        <v>1</v>
      </c>
      <c r="D79">
        <v>1</v>
      </c>
      <c r="E79">
        <v>1</v>
      </c>
      <c r="F79">
        <v>1</v>
      </c>
      <c r="G79">
        <v>1</v>
      </c>
      <c r="H79">
        <v>1</v>
      </c>
    </row>
    <row r="80" spans="1:9" ht="29" x14ac:dyDescent="0.35">
      <c r="B80" s="2" t="s">
        <v>649</v>
      </c>
      <c r="C80">
        <v>1</v>
      </c>
      <c r="D80">
        <v>1</v>
      </c>
      <c r="E80">
        <v>1</v>
      </c>
      <c r="F80">
        <v>1</v>
      </c>
      <c r="G80">
        <v>1</v>
      </c>
      <c r="H80">
        <v>1</v>
      </c>
    </row>
    <row r="81" spans="2:8" x14ac:dyDescent="0.35">
      <c r="B81" s="2" t="s">
        <v>651</v>
      </c>
      <c r="C81">
        <v>1</v>
      </c>
      <c r="D81">
        <v>1</v>
      </c>
      <c r="E81">
        <v>1</v>
      </c>
      <c r="F81">
        <v>1</v>
      </c>
      <c r="G81">
        <v>1</v>
      </c>
      <c r="H81">
        <v>1</v>
      </c>
    </row>
    <row r="82" spans="2:8" x14ac:dyDescent="0.35">
      <c r="B82" s="2" t="s">
        <v>652</v>
      </c>
      <c r="C82">
        <v>1</v>
      </c>
      <c r="D82">
        <v>1</v>
      </c>
      <c r="E82">
        <v>1</v>
      </c>
      <c r="F82">
        <v>1</v>
      </c>
      <c r="G82">
        <v>1</v>
      </c>
      <c r="H82">
        <v>1</v>
      </c>
    </row>
    <row r="83" spans="2:8" ht="29" x14ac:dyDescent="0.35">
      <c r="B83" s="2" t="s">
        <v>635</v>
      </c>
      <c r="D83">
        <v>1</v>
      </c>
      <c r="F83">
        <v>1</v>
      </c>
    </row>
    <row r="84" spans="2:8" x14ac:dyDescent="0.35">
      <c r="B84" t="s">
        <v>658</v>
      </c>
      <c r="D84">
        <v>1</v>
      </c>
      <c r="E84">
        <v>1</v>
      </c>
      <c r="F84">
        <v>1</v>
      </c>
      <c r="G84">
        <v>1</v>
      </c>
      <c r="H84">
        <v>1</v>
      </c>
    </row>
    <row r="85" spans="2:8" x14ac:dyDescent="0.35">
      <c r="B85" t="s">
        <v>659</v>
      </c>
      <c r="D85">
        <v>1</v>
      </c>
      <c r="E85">
        <v>1</v>
      </c>
      <c r="F85">
        <v>1</v>
      </c>
      <c r="G85">
        <v>1</v>
      </c>
      <c r="H85">
        <v>1</v>
      </c>
    </row>
    <row r="86" spans="2:8" x14ac:dyDescent="0.35">
      <c r="B86" t="s">
        <v>660</v>
      </c>
      <c r="D86">
        <v>1</v>
      </c>
    </row>
    <row r="87" spans="2:8" x14ac:dyDescent="0.35">
      <c r="B87" t="s">
        <v>661</v>
      </c>
      <c r="E87">
        <v>1</v>
      </c>
    </row>
    <row r="88" spans="2:8" x14ac:dyDescent="0.35">
      <c r="B88" s="2" t="s">
        <v>664</v>
      </c>
      <c r="F88">
        <v>1</v>
      </c>
      <c r="G88">
        <v>1</v>
      </c>
      <c r="H88">
        <v>1</v>
      </c>
    </row>
    <row r="89" spans="2:8" x14ac:dyDescent="0.35">
      <c r="B89" s="2" t="s">
        <v>665</v>
      </c>
      <c r="F89">
        <v>1</v>
      </c>
      <c r="G89">
        <v>1</v>
      </c>
      <c r="H89">
        <v>1</v>
      </c>
    </row>
    <row r="105" spans="2:2" x14ac:dyDescent="0.35">
      <c r="B105" s="12"/>
    </row>
    <row r="111" spans="2:2" ht="15.5" x14ac:dyDescent="0.35">
      <c r="B111" s="13"/>
    </row>
    <row r="112" spans="2:2" ht="15.5" x14ac:dyDescent="0.35">
      <c r="B112" s="14"/>
    </row>
    <row r="113" spans="2:2" ht="15.5" x14ac:dyDescent="0.35">
      <c r="B113" s="13"/>
    </row>
    <row r="114" spans="2:2" ht="15.5" x14ac:dyDescent="0.35">
      <c r="B114" s="13"/>
    </row>
    <row r="115" spans="2:2" ht="15.5" x14ac:dyDescent="0.35">
      <c r="B115" s="14"/>
    </row>
    <row r="116" spans="2:2" ht="15.5" x14ac:dyDescent="0.35">
      <c r="B116" s="14"/>
    </row>
    <row r="117" spans="2:2" ht="15.5" x14ac:dyDescent="0.35">
      <c r="B117" s="13"/>
    </row>
    <row r="118" spans="2:2" x14ac:dyDescent="0.35">
      <c r="B118" s="12"/>
    </row>
  </sheetData>
  <conditionalFormatting sqref="C91:I97 C90:F90 H90:I90 G98 H99:H104 C69:I89 C10:C68 F10:I68">
    <cfRule type="iconSet" priority="5">
      <iconSet iconSet="3Symbols">
        <cfvo type="percent" val="0"/>
        <cfvo type="num" val="1"/>
        <cfvo type="num" val="2"/>
      </iconSet>
    </cfRule>
  </conditionalFormatting>
  <conditionalFormatting sqref="D10:D68">
    <cfRule type="iconSet" priority="983">
      <iconSet iconSet="3Symbols">
        <cfvo type="percent" val="0"/>
        <cfvo type="num" val="1"/>
        <cfvo type="num" val="2"/>
      </iconSet>
    </cfRule>
  </conditionalFormatting>
  <conditionalFormatting sqref="E10:E15">
    <cfRule type="iconSet" priority="2">
      <iconSet iconSet="3Symbols">
        <cfvo type="percent" val="0"/>
        <cfvo type="num" val="1"/>
        <cfvo type="num" val="2"/>
      </iconSet>
    </cfRule>
  </conditionalFormatting>
  <conditionalFormatting sqref="E16:E68">
    <cfRule type="iconSet" priority="1004">
      <iconSet iconSet="3Symbols">
        <cfvo type="percent" val="0"/>
        <cfvo type="num" val="1"/>
        <cfvo type="num" val="2"/>
      </iconSet>
    </cfRule>
  </conditionalFormatting>
  <conditionalFormatting sqref="F91:I91 F90 H90:I90 F70:I89">
    <cfRule type="iconSet" priority="4">
      <iconSet iconSet="3Symbols">
        <cfvo type="percent" val="0"/>
        <cfvo type="num" val="1"/>
        <cfvo type="num" val="2"/>
      </iconSet>
    </cfRule>
  </conditionalFormatting>
  <conditionalFormatting sqref="J62:J91 J38:J49 J10:J36 J52:J59">
    <cfRule type="iconSet" priority="998">
      <iconSet>
        <cfvo type="percent" val="0"/>
        <cfvo type="num" val="1"/>
        <cfvo type="num" val="2"/>
      </iconSet>
    </cfRule>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CE46-D310-4982-8C77-92767F8DA444}">
  <dimension ref="A1:W116"/>
  <sheetViews>
    <sheetView topLeftCell="A37" zoomScale="76" zoomScaleNormal="76" workbookViewId="0">
      <selection activeCell="C65" sqref="C65:E66"/>
    </sheetView>
  </sheetViews>
  <sheetFormatPr defaultRowHeight="14.5" x14ac:dyDescent="0.35"/>
  <cols>
    <col min="1" max="1" width="28" customWidth="1"/>
    <col min="2" max="2" width="35.453125" style="2" customWidth="1"/>
    <col min="3" max="8" width="15.453125" customWidth="1"/>
    <col min="10" max="10" width="12.54296875" customWidth="1"/>
    <col min="17" max="17" width="13.1796875" customWidth="1"/>
  </cols>
  <sheetData>
    <row r="1" spans="1:23" x14ac:dyDescent="0.35">
      <c r="A1" s="1" t="s">
        <v>352</v>
      </c>
      <c r="C1">
        <f xml:space="preserve"> SUM(C3:C4) / (C3+ C4+ C7) * 100</f>
        <v>96</v>
      </c>
      <c r="D1">
        <f t="shared" ref="D1:H1" si="0" xml:space="preserve"> SUM(D3:D4) / (D3+ D4+ D7) * 100</f>
        <v>98.039215686274503</v>
      </c>
      <c r="E1">
        <f t="shared" si="0"/>
        <v>98</v>
      </c>
      <c r="F1">
        <f t="shared" si="0"/>
        <v>97.872340425531917</v>
      </c>
      <c r="G1">
        <f t="shared" si="0"/>
        <v>100</v>
      </c>
      <c r="H1">
        <f t="shared" si="0"/>
        <v>100</v>
      </c>
      <c r="J1" s="1" t="s">
        <v>472</v>
      </c>
      <c r="K1" s="1" t="s">
        <v>13</v>
      </c>
      <c r="L1" s="1" t="s">
        <v>14</v>
      </c>
      <c r="M1" s="1" t="s">
        <v>15</v>
      </c>
      <c r="N1" s="1" t="s">
        <v>16</v>
      </c>
      <c r="O1" s="1" t="s">
        <v>17</v>
      </c>
      <c r="P1" s="1" t="s">
        <v>18</v>
      </c>
      <c r="Q1" s="1" t="s">
        <v>473</v>
      </c>
      <c r="R1" s="1" t="s">
        <v>13</v>
      </c>
      <c r="S1" s="1" t="s">
        <v>14</v>
      </c>
      <c r="T1" s="1" t="s">
        <v>15</v>
      </c>
      <c r="U1" s="1" t="s">
        <v>16</v>
      </c>
      <c r="V1" s="1" t="s">
        <v>17</v>
      </c>
      <c r="W1" s="1" t="s">
        <v>18</v>
      </c>
    </row>
    <row r="2" spans="1:23" x14ac:dyDescent="0.35">
      <c r="A2" s="1" t="s">
        <v>351</v>
      </c>
      <c r="C2">
        <f xml:space="preserve"> SUM(C3:C4) / SUM(C3:C5) *100</f>
        <v>88.888888888888886</v>
      </c>
      <c r="D2">
        <f t="shared" ref="D2:H2" si="1" xml:space="preserve"> SUM(D3:D4) / SUM(D3:D5) *100</f>
        <v>92.592592592592595</v>
      </c>
      <c r="E2">
        <f t="shared" si="1"/>
        <v>92.452830188679243</v>
      </c>
      <c r="F2">
        <f t="shared" si="1"/>
        <v>85.18518518518519</v>
      </c>
      <c r="G2">
        <f t="shared" si="1"/>
        <v>81.481481481481481</v>
      </c>
      <c r="H2">
        <f t="shared" si="1"/>
        <v>84.905660377358487</v>
      </c>
      <c r="J2" s="1" t="s">
        <v>13</v>
      </c>
      <c r="K2" s="10"/>
      <c r="L2" s="10"/>
      <c r="M2" s="10"/>
      <c r="Q2" s="1" t="s">
        <v>13</v>
      </c>
      <c r="R2" s="10"/>
      <c r="S2" s="10"/>
      <c r="T2" s="10"/>
    </row>
    <row r="3" spans="1:23" x14ac:dyDescent="0.35">
      <c r="A3" s="1" t="s">
        <v>242</v>
      </c>
      <c r="C3" s="2">
        <f>COUNTIF(C10:C63, 2)</f>
        <v>48</v>
      </c>
      <c r="D3" s="2">
        <f t="shared" ref="D3:H3" si="2">COUNTIF(D10:D63, 2)</f>
        <v>46</v>
      </c>
      <c r="E3" s="2">
        <f t="shared" si="2"/>
        <v>49</v>
      </c>
      <c r="F3" s="2">
        <f t="shared" si="2"/>
        <v>39</v>
      </c>
      <c r="G3" s="2">
        <f t="shared" si="2"/>
        <v>38</v>
      </c>
      <c r="H3" s="2">
        <f t="shared" si="2"/>
        <v>44</v>
      </c>
      <c r="J3" s="1" t="s">
        <v>14</v>
      </c>
      <c r="K3" s="10" cm="1">
        <f t="array" ref="K3">IFERROR(SUMPRODUCT((C10:C112&lt;&gt;"")*(D10:D112&lt;&gt;"")*(C10:C112=D10:D112))/SUMPRODUCT(--((C10:C112&lt;&gt;"")+(D10:D112&lt;&gt;"")&gt;0)),"")</f>
        <v>0.75903614457831325</v>
      </c>
      <c r="L3" s="10"/>
      <c r="M3" s="10"/>
      <c r="Q3" s="1" t="s">
        <v>14</v>
      </c>
      <c r="R3" s="10" cm="1">
        <f t="array" ref="R3">IFERROR(
   SUMPRODUCT((C10:C112&lt;&gt;"")*(D10:D112&lt;&gt;"")*
   ((C10:C112=D10:D112)+((C10:C112=1)*(D10:D112=2))+((C10:C112=2)*(D10:D112=1))))
   /
   SUMPRODUCT(--((C10:C112&lt;&gt;"")+(D10:D112&lt;&gt;"")&gt;0)),
"")</f>
        <v>0.79518072289156627</v>
      </c>
      <c r="S3" s="10"/>
      <c r="T3" s="10"/>
    </row>
    <row r="4" spans="1:23" x14ac:dyDescent="0.35">
      <c r="A4" s="1" t="s">
        <v>243</v>
      </c>
      <c r="C4">
        <f>COUNTIF(C10:C63, 1)</f>
        <v>0</v>
      </c>
      <c r="D4">
        <f t="shared" ref="D4:H4" si="3">COUNTIF(D10:D63, 1)</f>
        <v>4</v>
      </c>
      <c r="E4">
        <f t="shared" si="3"/>
        <v>0</v>
      </c>
      <c r="F4">
        <f t="shared" si="3"/>
        <v>7</v>
      </c>
      <c r="G4">
        <f t="shared" si="3"/>
        <v>6</v>
      </c>
      <c r="H4">
        <f t="shared" si="3"/>
        <v>1</v>
      </c>
      <c r="J4" s="1" t="s">
        <v>15</v>
      </c>
      <c r="K4" s="10" cm="1">
        <f t="array" ref="K4">IFERROR(SUMPRODUCT((C10:C112&lt;&gt;"")*(E10:E112&lt;&gt;"")*(C10:C112=E10:E112))/SUMPRODUCT(--((C10:C112&lt;&gt;"")+(E10:E112&lt;&gt;"")&gt;0)),"")</f>
        <v>0.8125</v>
      </c>
      <c r="L4" s="10" cm="1">
        <f t="array" ref="L4">IFERROR(SUMPRODUCT((E10:E112&lt;&gt;"")*(D10:D112&lt;&gt;"")*(E10:E112=D10:D112))/SUMPRODUCT(--((E10:E112&lt;&gt;"")+(D10:D112&lt;&gt;"")&gt;0)),"")</f>
        <v>0.75308641975308643</v>
      </c>
      <c r="M4" s="10"/>
      <c r="Q4" s="1" t="s">
        <v>15</v>
      </c>
      <c r="R4" s="10" cm="1">
        <f t="array" ref="R4">IFERROR(
   SUMPRODUCT((C10:C112&lt;&gt;"")*(E10:E112&lt;&gt;"")*
   ((C10:C112=E10:E112)+((C10:C112=1)*(E10:E112=2))+((C10:C112=2)*(E10:E112=1))))
   /
   SUMPRODUCT(--((C10:C112&lt;&gt;"")+(E10:E112&lt;&gt;"")&gt;0)),
"")</f>
        <v>0.8125</v>
      </c>
      <c r="S4" s="10" cm="1">
        <f t="array" ref="S4">IFERROR(
   SUMPRODUCT((E10:E112&lt;&gt;"")*(D10:D112&lt;&gt;"")*
   ((E10:E112=D10:D112)+((E10:E112=1)*(D10:D112=2))+((E10:E112=2)*(D10:D112=1))))
   /
   SUMPRODUCT(--((E10:E112&lt;&gt;"")+(D10:D112&lt;&gt;"")&gt;0)),
"")</f>
        <v>0.80246913580246915</v>
      </c>
      <c r="T4" s="10"/>
    </row>
    <row r="5" spans="1:23" x14ac:dyDescent="0.35">
      <c r="A5" s="1" t="s">
        <v>244</v>
      </c>
      <c r="C5">
        <f>COUNTIF(C10:C63, 0)</f>
        <v>6</v>
      </c>
      <c r="D5">
        <f t="shared" ref="D5:H5" si="4">COUNTIF(D10:D63, 0)</f>
        <v>4</v>
      </c>
      <c r="E5">
        <f t="shared" si="4"/>
        <v>4</v>
      </c>
      <c r="F5">
        <f t="shared" si="4"/>
        <v>8</v>
      </c>
      <c r="G5">
        <f t="shared" si="4"/>
        <v>10</v>
      </c>
      <c r="H5">
        <f t="shared" si="4"/>
        <v>8</v>
      </c>
      <c r="J5" s="1" t="s">
        <v>16</v>
      </c>
      <c r="K5" s="11" cm="1">
        <f t="array" ref="K5">IFERROR(SUMPRODUCT((C10:C112&lt;&gt;"")*(F10:F112&lt;&gt;"")*(C10:C112=F10:F112))/SUMPRODUCT(--((C10:C112&lt;&gt;"")+(F10:F112&lt;&gt;"")&gt;0)),"")</f>
        <v>0.62337662337662336</v>
      </c>
      <c r="L5" s="11" cm="1">
        <f t="array" ref="L5">IFERROR(SUMPRODUCT((F10:F112&lt;&gt;"")*(D10:D112&lt;&gt;"")*(F10:F112=D10:D112))/SUMPRODUCT(--((F10:F112&lt;&gt;"")+(D10:D112&lt;&gt;"")&gt;0)),"")</f>
        <v>0.54430379746835444</v>
      </c>
      <c r="M5" s="11" cm="1">
        <f t="array" ref="M5">IFERROR(SUMPRODUCT((F10:F112&lt;&gt;"")*(E10:E112&lt;&gt;"")*(F10:F112=E10:E112))/SUMPRODUCT(--((F10:F112&lt;&gt;"")+(E10:E112&lt;&gt;"")&gt;0)),"")</f>
        <v>0.6216216216216216</v>
      </c>
      <c r="N5" s="10"/>
      <c r="O5" s="10"/>
      <c r="Q5" s="1" t="s">
        <v>16</v>
      </c>
      <c r="R5" s="11" cm="1">
        <f t="array" ref="R5">IFERROR(
   SUMPRODUCT((C10:C112&lt;&gt;"")*(F10:F112&lt;&gt;"")*
   ((C10:C112=F10:F112)+((C10:C112=1)*(F10:F112=2))+((C10:C112=2)*(F10:F112=1))))
   /
   SUMPRODUCT(--((C10:C112&lt;&gt;"")+(F10:F112&lt;&gt;"")&gt;0)),
"")</f>
        <v>0.70129870129870131</v>
      </c>
      <c r="S5" s="11" cm="1">
        <f t="array" ref="S5">IFERROR(
   SUMPRODUCT((F10:F112&lt;&gt;"")*(D10:D112&lt;&gt;"")*
   ((F10:F112=D10:D112)+((F10:F112=1)*(D10:D112=2))+((F10:F112=2)*(D10:D112=1))))
   /
   SUMPRODUCT(--((F10:F112&lt;&gt;"")+(D10:D112&lt;&gt;"")&gt;0)),
"")</f>
        <v>0.64556962025316456</v>
      </c>
      <c r="T5" s="11" cm="1">
        <f t="array" ref="T5">IFERROR(
   SUMPRODUCT((F10:F112&lt;&gt;"")*(E10:E112&lt;&gt;"")*
   ((F10:F112=E10:E112)+((F10:F112=1)*(E10:E112=2))+((F10:F112=2)*(E10:E112=1))))
   /
   SUMPRODUCT(--((F10:F112&lt;&gt;"")+(E10:E112&lt;&gt;"")&gt;0)),
"")</f>
        <v>0.70270270270270274</v>
      </c>
      <c r="U5" s="10"/>
      <c r="V5" s="10"/>
    </row>
    <row r="6" spans="1:23" x14ac:dyDescent="0.35">
      <c r="A6" s="1" t="s">
        <v>245</v>
      </c>
      <c r="C6">
        <f>COUNTIF(C65:C128,0) + COUNTIF(C65:C128,1)</f>
        <v>22</v>
      </c>
      <c r="D6">
        <f t="shared" ref="D6:H6" si="5">COUNTIF(D65:D128,0) + COUNTIF(D65:D128,1)</f>
        <v>23</v>
      </c>
      <c r="E6">
        <f t="shared" si="5"/>
        <v>18</v>
      </c>
      <c r="F6">
        <f t="shared" si="5"/>
        <v>7</v>
      </c>
      <c r="G6">
        <f t="shared" si="5"/>
        <v>6</v>
      </c>
      <c r="H6">
        <f t="shared" si="5"/>
        <v>10</v>
      </c>
      <c r="J6" s="1" t="s">
        <v>17</v>
      </c>
      <c r="K6" s="11" cm="1">
        <f t="array" ref="K6">IFERROR(SUMPRODUCT((C10:C112&lt;&gt;"")*(G10:G112&lt;&gt;"")*(C10:C112=G10:G112))/SUMPRODUCT(--((C10:C112&lt;&gt;"")+(G10:G112&lt;&gt;"")&gt;0)),"")</f>
        <v>0.63157894736842102</v>
      </c>
      <c r="L6" s="11" cm="1">
        <f t="array" ref="L6">SUMPRODUCT((D10:D112&lt;&gt;0)*(G10:G112&lt;&gt;0)) / SUMPRODUCT(((D10:D112&lt;&gt;0)+(G10:G112&lt;&gt;0)&gt;0)*1)</f>
        <v>0.64864864864864868</v>
      </c>
      <c r="M6" s="11" cm="1">
        <f t="array" ref="M6">IFERROR(SUMPRODUCT((G10:G112&lt;&gt;"")*(E10:E112&lt;&gt;"")*(G10:G112=E10:E112))/SUMPRODUCT(--((G10:G112&lt;&gt;"")+(E10:E112&lt;&gt;"")&gt;0)),"")</f>
        <v>0.64383561643835618</v>
      </c>
      <c r="N6" s="10" cm="1">
        <f t="array" ref="N6">IFERROR(SUMPRODUCT((G10:G112&lt;&gt;"")*(F10:F112&lt;&gt;"")*(G10:G112=F10:F112))/SUMPRODUCT(--((G10:G112&lt;&gt;"")+(F10:F112&lt;&gt;"")&gt;0)),"")</f>
        <v>0.79032258064516125</v>
      </c>
      <c r="O6" s="10"/>
      <c r="Q6" s="1" t="s">
        <v>17</v>
      </c>
      <c r="R6" s="11" cm="1">
        <f t="array" ref="R6">IFERROR(
   SUMPRODUCT((C10:C112&lt;&gt;"")*(G10:G112&lt;&gt;"")*
   ((C10:C112=G10:G112)+((C10:C112=1)*(G10:G112=2))+((C10:C112=2)*(G10:G112=1))))
   /
   SUMPRODUCT(--((C10:C112&lt;&gt;"")+(G10:G112&lt;&gt;"")&gt;0)),
"")</f>
        <v>0.71052631578947367</v>
      </c>
      <c r="S6" s="11" cm="1">
        <f t="array" ref="S6">IFERROR(
   SUMPRODUCT((D10:D112&lt;&gt;"")*(G10:G112&lt;&gt;"")*
   ((D10:D112=G10:G112)+((D10:D112=1)*(G10:G112=2))+((D10:D112=2)*(G10:G112=1))))
   /
   SUMPRODUCT(--((D10:D112&lt;&gt;"")+(G10:G112&lt;&gt;"")&gt;0)),
"")</f>
        <v>0.65384615384615385</v>
      </c>
      <c r="T6" s="11" cm="1">
        <f t="array" ref="T6">IFERROR(
   SUMPRODUCT((G10:G112&lt;&gt;"")*(E10:E112&lt;&gt;"")*
   ((G10:G112=E10:E112)+((G10:G112=1)*(E10:E112=2))+((G10:G112=2)*(E10:E112=1))))
   /
   SUMPRODUCT(--((G10:G112&lt;&gt;"")+(E10:E112&lt;&gt;"")&gt;0)),
"")</f>
        <v>0.71232876712328763</v>
      </c>
      <c r="U6" s="10" cm="1">
        <f t="array" ref="U6">IFERROR(
   SUMPRODUCT((F10:F112&lt;&gt;"")*(G10:G112&lt;&gt;"")*
   ((F10:F112=G10:G112)+((F10:F112=1)*(G10:G112=2))+((F10:F112=2)*(G10:G112=1))))
   /
   SUMPRODUCT(--((F10:F112&lt;&gt;"")+(G10:G112&lt;&gt;"")&gt;0)),
"")</f>
        <v>0.88709677419354838</v>
      </c>
      <c r="V6" s="10"/>
    </row>
    <row r="7" spans="1:23" x14ac:dyDescent="0.35">
      <c r="A7" s="1" t="s">
        <v>246</v>
      </c>
      <c r="C7">
        <f>COUNTIF(C65:C128,0)</f>
        <v>2</v>
      </c>
      <c r="D7">
        <f t="shared" ref="D7:H7" si="6">COUNTIF(D65:D128,0)</f>
        <v>1</v>
      </c>
      <c r="E7">
        <f t="shared" si="6"/>
        <v>1</v>
      </c>
      <c r="F7">
        <f t="shared" si="6"/>
        <v>1</v>
      </c>
      <c r="G7">
        <f t="shared" si="6"/>
        <v>0</v>
      </c>
      <c r="H7">
        <f t="shared" si="6"/>
        <v>0</v>
      </c>
      <c r="J7" s="1" t="s">
        <v>18</v>
      </c>
      <c r="K7" s="11" cm="1">
        <f t="array" ref="K7">IFERROR(SUMPRODUCT((C10:C112&lt;&gt;"")*(H10:H112&lt;&gt;"")*(C10:C112=H10:H112))/SUMPRODUCT(--((C10:C112&lt;&gt;"")+(H10:H112&lt;&gt;"")&gt;0)),"")</f>
        <v>0.69230769230769229</v>
      </c>
      <c r="L7" s="11" cm="1">
        <f t="array" ref="L7">IFERROR(SUMPRODUCT((H10:H112&lt;&gt;"")*(D10:D112&lt;&gt;"")*(H10:H112=D10:D112))/SUMPRODUCT(--((H10:H112&lt;&gt;"")+(D10:D112&lt;&gt;"")&gt;0)),"")</f>
        <v>0.68354430379746833</v>
      </c>
      <c r="M7" s="11" cm="1">
        <f t="array" ref="M7">IFERROR(SUMPRODUCT((H10:H112&lt;&gt;"")*(E10:E112&lt;&gt;"")*(H10:H112=E10:E112))/SUMPRODUCT(--((H10:H112&lt;&gt;"")+(E10:E112&lt;&gt;"")&gt;0)),"")</f>
        <v>0.72</v>
      </c>
      <c r="N7" s="10" cm="1">
        <f t="array" ref="N7">IFERROR(SUMPRODUCT((F10:F112&lt;&gt;"")*(H10:H112&lt;&gt;"")*(F10:F112=H10:H112))/SUMPRODUCT(--((F10:F112&lt;&gt;"")+(H10:H112&lt;&gt;"")&gt;0)),"")</f>
        <v>0.68181818181818177</v>
      </c>
      <c r="O7" s="10" cm="1">
        <f t="array" ref="O7">IFERROR(SUMPRODUCT((G10:G112&lt;&gt;"")*(H10:H112&lt;&gt;"")*(G10:G112=H10:H112))/SUMPRODUCT(--((G10:G112&lt;&gt;"")+(H10:H112&lt;&gt;"")&gt;0)),"")</f>
        <v>0.734375</v>
      </c>
      <c r="Q7" s="1" t="s">
        <v>18</v>
      </c>
      <c r="R7" s="11" cm="1">
        <f t="array" ref="R7">IFERROR(
   SUMPRODUCT((C10:C112&lt;&gt;"")*(H10:H112&lt;&gt;"")*
   ((C10:C112=H10:H112)+((C10:C112=1)*(H10:H112=2))+((C10:C112=2)*(H10:H112=1))))
   /
   SUMPRODUCT(--((C10:C112&lt;&gt;"")+(H10:H112&lt;&gt;"")&gt;0)),
"")</f>
        <v>0.70512820512820518</v>
      </c>
      <c r="S7" s="11" cm="1">
        <f t="array" ref="S7">IFERROR(
   SUMPRODUCT((H10:H112&lt;&gt;"")*(D10:D112&lt;&gt;"")*
   ((H10:H112=D10:D112)+((H10:H112=1)*(D10:D112=2))+((H10:H112=2)*(D10:D112=1))))
   /
   SUMPRODUCT(--((H10:H112&lt;&gt;"")+(D10:D112&lt;&gt;"")&gt;0)),
"")</f>
        <v>0.69620253164556967</v>
      </c>
      <c r="T7" s="11" cm="1">
        <f t="array" ref="T7">IFERROR(
   SUMPRODUCT((H10:H112&lt;&gt;"")*(E10:E112&lt;&gt;"")*
   ((H10:H112=E10:E112)+((H10:H112=1)*(E10:E112=2))+((H10:H112=2)*(E10:E112=1))))
   /
   SUMPRODUCT(--((H10:H112&lt;&gt;"")+(E10:E112&lt;&gt;"")&gt;0)),
"")</f>
        <v>0.73333333333333328</v>
      </c>
      <c r="U7" s="10" cm="1">
        <f t="array" ref="U7">IFERROR(
   SUMPRODUCT((F10:F112&lt;&gt;"")*(H10:H112&lt;&gt;"")*
   ((F10:F112=H10:H112)+((F10:F112=1)*(H10:H112=2))+((F10:F112=2)*(H10:H112=1))))
   /
   SUMPRODUCT(--((F10:F112&lt;&gt;"")+(H10:H112&lt;&gt;"")&gt;0)),
"")</f>
        <v>0.78787878787878785</v>
      </c>
      <c r="V7" s="10" cm="1">
        <f t="array" ref="V7">IFERROR(
   SUMPRODUCT((H10:H112&lt;&gt;"")*(G10:G112&lt;&gt;"")*
   ((H10:H112=G10:G112)+((H10:H112=1)*(G10:G112=2))+((H10:H112=2)*(G10:G112=1))))
   /
   SUMPRODUCT(--((H10:H112&lt;&gt;"")+(G10:G112&lt;&gt;"")&gt;0)),
"")</f>
        <v>0.828125</v>
      </c>
    </row>
    <row r="8" spans="1:23" s="3" customFormat="1" x14ac:dyDescent="0.35"/>
    <row r="9" spans="1:23" s="1" customFormat="1" x14ac:dyDescent="0.35">
      <c r="B9" s="5"/>
      <c r="C9" s="1" t="s">
        <v>13</v>
      </c>
      <c r="D9" s="1" t="s">
        <v>14</v>
      </c>
      <c r="E9" s="1" t="s">
        <v>15</v>
      </c>
      <c r="F9" s="1" t="s">
        <v>16</v>
      </c>
      <c r="G9" s="1" t="s">
        <v>17</v>
      </c>
      <c r="H9" s="1" t="s">
        <v>18</v>
      </c>
    </row>
    <row r="10" spans="1:23" x14ac:dyDescent="0.35">
      <c r="A10" s="1" t="s">
        <v>461</v>
      </c>
      <c r="B10" s="2" t="s">
        <v>269</v>
      </c>
      <c r="C10">
        <v>2</v>
      </c>
      <c r="D10">
        <v>2</v>
      </c>
      <c r="E10">
        <v>2</v>
      </c>
      <c r="F10">
        <v>2</v>
      </c>
      <c r="G10">
        <v>2</v>
      </c>
      <c r="H10">
        <v>2</v>
      </c>
    </row>
    <row r="11" spans="1:23" x14ac:dyDescent="0.35">
      <c r="A11" s="1"/>
      <c r="B11" s="2" t="s">
        <v>670</v>
      </c>
      <c r="C11">
        <v>2</v>
      </c>
      <c r="D11">
        <v>2</v>
      </c>
      <c r="E11">
        <v>2</v>
      </c>
      <c r="F11">
        <v>0</v>
      </c>
      <c r="G11">
        <v>0</v>
      </c>
      <c r="H11">
        <v>0</v>
      </c>
    </row>
    <row r="12" spans="1:23" x14ac:dyDescent="0.35">
      <c r="A12" s="1"/>
      <c r="B12" s="2" t="s">
        <v>676</v>
      </c>
      <c r="C12">
        <v>2</v>
      </c>
      <c r="D12">
        <v>2</v>
      </c>
      <c r="E12">
        <v>2</v>
      </c>
      <c r="F12">
        <v>2</v>
      </c>
      <c r="G12">
        <v>2</v>
      </c>
      <c r="H12">
        <v>2</v>
      </c>
    </row>
    <row r="13" spans="1:23" ht="29" x14ac:dyDescent="0.35">
      <c r="A13" s="1"/>
      <c r="B13" s="2" t="s">
        <v>677</v>
      </c>
      <c r="C13">
        <v>0</v>
      </c>
      <c r="D13">
        <v>0</v>
      </c>
      <c r="E13">
        <v>0</v>
      </c>
      <c r="F13">
        <v>0</v>
      </c>
      <c r="G13">
        <v>0</v>
      </c>
      <c r="H13">
        <v>0</v>
      </c>
    </row>
    <row r="14" spans="1:23" x14ac:dyDescent="0.35">
      <c r="A14" s="1"/>
      <c r="B14" s="2" t="s">
        <v>699</v>
      </c>
      <c r="C14">
        <v>2</v>
      </c>
      <c r="D14">
        <v>2</v>
      </c>
      <c r="E14">
        <v>2</v>
      </c>
      <c r="F14">
        <v>2</v>
      </c>
      <c r="G14">
        <v>2</v>
      </c>
      <c r="H14">
        <v>2</v>
      </c>
    </row>
    <row r="15" spans="1:23" x14ac:dyDescent="0.35">
      <c r="A15" s="1"/>
      <c r="B15" s="2" t="s">
        <v>707</v>
      </c>
      <c r="C15">
        <v>2</v>
      </c>
      <c r="D15">
        <v>2</v>
      </c>
      <c r="E15">
        <v>2</v>
      </c>
      <c r="F15">
        <v>2</v>
      </c>
      <c r="G15">
        <v>2</v>
      </c>
      <c r="H15">
        <v>2</v>
      </c>
    </row>
    <row r="16" spans="1:23" x14ac:dyDescent="0.35">
      <c r="A16" s="1" t="s">
        <v>6</v>
      </c>
      <c r="B16" s="2" t="s">
        <v>668</v>
      </c>
      <c r="C16">
        <v>2</v>
      </c>
      <c r="D16">
        <v>2</v>
      </c>
      <c r="E16">
        <v>2</v>
      </c>
      <c r="F16">
        <v>2</v>
      </c>
      <c r="G16">
        <v>2</v>
      </c>
      <c r="H16">
        <v>2</v>
      </c>
    </row>
    <row r="17" spans="1:8" x14ac:dyDescent="0.35">
      <c r="A17" s="1"/>
      <c r="B17" s="2" t="s">
        <v>669</v>
      </c>
      <c r="C17">
        <v>2</v>
      </c>
      <c r="D17">
        <v>2</v>
      </c>
      <c r="E17">
        <v>2</v>
      </c>
      <c r="F17">
        <v>2</v>
      </c>
      <c r="G17">
        <v>2</v>
      </c>
      <c r="H17">
        <v>2</v>
      </c>
    </row>
    <row r="18" spans="1:8" x14ac:dyDescent="0.35">
      <c r="A18" s="1"/>
      <c r="B18" t="s">
        <v>671</v>
      </c>
      <c r="C18">
        <v>0</v>
      </c>
      <c r="D18">
        <v>0</v>
      </c>
      <c r="E18">
        <v>0</v>
      </c>
      <c r="F18">
        <v>2</v>
      </c>
      <c r="G18">
        <v>0</v>
      </c>
      <c r="H18">
        <v>0</v>
      </c>
    </row>
    <row r="19" spans="1:8" x14ac:dyDescent="0.35">
      <c r="A19" s="1"/>
      <c r="B19" t="s">
        <v>672</v>
      </c>
      <c r="C19">
        <v>2</v>
      </c>
      <c r="D19">
        <v>2</v>
      </c>
      <c r="E19">
        <v>2</v>
      </c>
      <c r="F19">
        <v>2</v>
      </c>
      <c r="G19">
        <v>1</v>
      </c>
      <c r="H19">
        <v>2</v>
      </c>
    </row>
    <row r="20" spans="1:8" x14ac:dyDescent="0.35">
      <c r="A20" s="1"/>
      <c r="B20" t="s">
        <v>673</v>
      </c>
      <c r="C20">
        <v>2</v>
      </c>
      <c r="D20">
        <v>2</v>
      </c>
      <c r="E20">
        <v>2</v>
      </c>
      <c r="F20">
        <v>2</v>
      </c>
      <c r="G20">
        <v>1</v>
      </c>
      <c r="H20">
        <v>2</v>
      </c>
    </row>
    <row r="21" spans="1:8" x14ac:dyDescent="0.35">
      <c r="A21" s="1"/>
      <c r="B21" s="2" t="s">
        <v>678</v>
      </c>
      <c r="C21">
        <v>2</v>
      </c>
      <c r="D21">
        <v>2</v>
      </c>
      <c r="E21">
        <v>2</v>
      </c>
      <c r="F21">
        <v>2</v>
      </c>
      <c r="G21">
        <v>2</v>
      </c>
      <c r="H21">
        <v>2</v>
      </c>
    </row>
    <row r="22" spans="1:8" x14ac:dyDescent="0.35">
      <c r="A22" s="1"/>
      <c r="B22" s="2" t="s">
        <v>679</v>
      </c>
      <c r="C22">
        <v>2</v>
      </c>
      <c r="D22">
        <v>2</v>
      </c>
      <c r="E22">
        <v>2</v>
      </c>
      <c r="F22">
        <v>2</v>
      </c>
      <c r="G22">
        <v>2</v>
      </c>
      <c r="H22">
        <v>2</v>
      </c>
    </row>
    <row r="23" spans="1:8" ht="29" x14ac:dyDescent="0.35">
      <c r="A23" s="1"/>
      <c r="B23" s="2" t="s">
        <v>681</v>
      </c>
      <c r="C23">
        <v>2</v>
      </c>
      <c r="D23">
        <v>1</v>
      </c>
      <c r="E23">
        <v>2</v>
      </c>
      <c r="F23">
        <v>0</v>
      </c>
      <c r="G23">
        <v>0</v>
      </c>
      <c r="H23">
        <v>1</v>
      </c>
    </row>
    <row r="24" spans="1:8" x14ac:dyDescent="0.35">
      <c r="B24" s="2" t="s">
        <v>683</v>
      </c>
      <c r="C24">
        <v>2</v>
      </c>
      <c r="D24">
        <v>2</v>
      </c>
      <c r="E24">
        <v>2</v>
      </c>
      <c r="F24">
        <v>2</v>
      </c>
      <c r="G24">
        <v>0</v>
      </c>
      <c r="H24">
        <v>2</v>
      </c>
    </row>
    <row r="25" spans="1:8" x14ac:dyDescent="0.35">
      <c r="B25" s="2" t="s">
        <v>684</v>
      </c>
      <c r="C25">
        <v>2</v>
      </c>
      <c r="D25">
        <v>2</v>
      </c>
      <c r="E25">
        <v>2</v>
      </c>
      <c r="F25">
        <v>2</v>
      </c>
      <c r="G25">
        <v>2</v>
      </c>
      <c r="H25">
        <v>2</v>
      </c>
    </row>
    <row r="26" spans="1:8" ht="29" x14ac:dyDescent="0.35">
      <c r="B26" s="2" t="s">
        <v>685</v>
      </c>
      <c r="C26">
        <v>2</v>
      </c>
      <c r="D26">
        <v>2</v>
      </c>
      <c r="E26">
        <v>2</v>
      </c>
      <c r="F26">
        <v>2</v>
      </c>
      <c r="G26">
        <v>2</v>
      </c>
      <c r="H26">
        <v>2</v>
      </c>
    </row>
    <row r="27" spans="1:8" ht="29" x14ac:dyDescent="0.35">
      <c r="B27" s="2" t="s">
        <v>686</v>
      </c>
      <c r="C27">
        <v>2</v>
      </c>
      <c r="D27">
        <v>2</v>
      </c>
      <c r="E27">
        <v>2</v>
      </c>
      <c r="F27">
        <v>2</v>
      </c>
      <c r="G27">
        <v>2</v>
      </c>
      <c r="H27">
        <v>2</v>
      </c>
    </row>
    <row r="28" spans="1:8" x14ac:dyDescent="0.35">
      <c r="B28" s="2" t="s">
        <v>688</v>
      </c>
      <c r="C28">
        <v>2</v>
      </c>
      <c r="D28">
        <v>2</v>
      </c>
      <c r="E28">
        <v>2</v>
      </c>
      <c r="F28">
        <v>2</v>
      </c>
      <c r="G28">
        <v>2</v>
      </c>
      <c r="H28">
        <v>2</v>
      </c>
    </row>
    <row r="29" spans="1:8" x14ac:dyDescent="0.35">
      <c r="B29" s="2" t="s">
        <v>689</v>
      </c>
      <c r="C29">
        <v>2</v>
      </c>
      <c r="D29">
        <v>2</v>
      </c>
      <c r="E29">
        <v>2</v>
      </c>
      <c r="F29">
        <v>2</v>
      </c>
      <c r="G29">
        <v>2</v>
      </c>
      <c r="H29">
        <v>2</v>
      </c>
    </row>
    <row r="30" spans="1:8" ht="29" x14ac:dyDescent="0.35">
      <c r="B30" s="2" t="s">
        <v>690</v>
      </c>
      <c r="C30">
        <v>2</v>
      </c>
      <c r="D30">
        <v>2</v>
      </c>
      <c r="E30">
        <v>2</v>
      </c>
      <c r="F30">
        <v>2</v>
      </c>
      <c r="G30">
        <v>2</v>
      </c>
      <c r="H30">
        <v>2</v>
      </c>
    </row>
    <row r="31" spans="1:8" x14ac:dyDescent="0.35">
      <c r="B31" s="2" t="s">
        <v>691</v>
      </c>
      <c r="C31">
        <v>2</v>
      </c>
      <c r="D31">
        <v>2</v>
      </c>
      <c r="E31">
        <v>2</v>
      </c>
      <c r="F31">
        <v>2</v>
      </c>
      <c r="G31">
        <v>2</v>
      </c>
    </row>
    <row r="32" spans="1:8" x14ac:dyDescent="0.35">
      <c r="B32" s="2" t="s">
        <v>693</v>
      </c>
      <c r="C32">
        <v>2</v>
      </c>
      <c r="D32">
        <v>2</v>
      </c>
      <c r="E32">
        <v>2</v>
      </c>
      <c r="F32">
        <v>2</v>
      </c>
      <c r="G32">
        <v>2</v>
      </c>
      <c r="H32">
        <v>2</v>
      </c>
    </row>
    <row r="33" spans="2:8" ht="29" x14ac:dyDescent="0.35">
      <c r="B33" s="2" t="s">
        <v>694</v>
      </c>
      <c r="C33">
        <v>2</v>
      </c>
      <c r="D33">
        <v>2</v>
      </c>
      <c r="E33">
        <v>2</v>
      </c>
      <c r="F33">
        <v>2</v>
      </c>
      <c r="G33">
        <v>2</v>
      </c>
      <c r="H33">
        <v>2</v>
      </c>
    </row>
    <row r="34" spans="2:8" ht="29" x14ac:dyDescent="0.35">
      <c r="B34" s="2" t="s">
        <v>695</v>
      </c>
      <c r="C34">
        <v>2</v>
      </c>
      <c r="D34">
        <v>2</v>
      </c>
      <c r="E34">
        <v>2</v>
      </c>
      <c r="F34">
        <v>2</v>
      </c>
      <c r="G34">
        <v>2</v>
      </c>
      <c r="H34">
        <v>2</v>
      </c>
    </row>
    <row r="35" spans="2:8" x14ac:dyDescent="0.35">
      <c r="B35" s="2" t="s">
        <v>696</v>
      </c>
      <c r="C35">
        <v>2</v>
      </c>
      <c r="D35">
        <v>2</v>
      </c>
      <c r="E35">
        <v>2</v>
      </c>
      <c r="F35">
        <v>2</v>
      </c>
      <c r="G35">
        <v>2</v>
      </c>
      <c r="H35">
        <v>2</v>
      </c>
    </row>
    <row r="36" spans="2:8" x14ac:dyDescent="0.35">
      <c r="B36" t="s">
        <v>736</v>
      </c>
      <c r="C36">
        <v>0</v>
      </c>
      <c r="D36">
        <v>2</v>
      </c>
      <c r="E36">
        <v>0</v>
      </c>
      <c r="F36">
        <v>0</v>
      </c>
      <c r="G36">
        <v>0</v>
      </c>
      <c r="H36">
        <v>0</v>
      </c>
    </row>
    <row r="37" spans="2:8" x14ac:dyDescent="0.35">
      <c r="B37" s="2" t="s">
        <v>697</v>
      </c>
      <c r="C37">
        <v>2</v>
      </c>
      <c r="D37">
        <v>2</v>
      </c>
      <c r="E37">
        <v>2</v>
      </c>
      <c r="F37">
        <v>2</v>
      </c>
      <c r="G37">
        <v>2</v>
      </c>
      <c r="H37">
        <v>2</v>
      </c>
    </row>
    <row r="38" spans="2:8" x14ac:dyDescent="0.35">
      <c r="B38" s="2" t="s">
        <v>700</v>
      </c>
      <c r="C38">
        <v>2</v>
      </c>
      <c r="D38">
        <v>2</v>
      </c>
      <c r="E38">
        <v>2</v>
      </c>
      <c r="F38">
        <v>2</v>
      </c>
      <c r="G38">
        <v>2</v>
      </c>
      <c r="H38">
        <v>2</v>
      </c>
    </row>
    <row r="39" spans="2:8" x14ac:dyDescent="0.35">
      <c r="B39" s="2" t="s">
        <v>701</v>
      </c>
      <c r="C39">
        <v>2</v>
      </c>
      <c r="D39">
        <v>2</v>
      </c>
      <c r="E39">
        <v>2</v>
      </c>
      <c r="F39">
        <v>2</v>
      </c>
      <c r="G39">
        <v>2</v>
      </c>
      <c r="H39">
        <v>2</v>
      </c>
    </row>
    <row r="40" spans="2:8" ht="29" x14ac:dyDescent="0.35">
      <c r="B40" s="2" t="s">
        <v>702</v>
      </c>
      <c r="C40">
        <v>2</v>
      </c>
      <c r="D40">
        <v>2</v>
      </c>
      <c r="E40">
        <v>2</v>
      </c>
      <c r="F40">
        <v>2</v>
      </c>
      <c r="G40">
        <v>2</v>
      </c>
      <c r="H40">
        <v>2</v>
      </c>
    </row>
    <row r="41" spans="2:8" ht="29" x14ac:dyDescent="0.35">
      <c r="B41" s="2" t="s">
        <v>703</v>
      </c>
      <c r="C41">
        <v>2</v>
      </c>
      <c r="D41">
        <v>0</v>
      </c>
      <c r="E41">
        <v>2</v>
      </c>
      <c r="F41">
        <v>2</v>
      </c>
      <c r="G41">
        <v>2</v>
      </c>
      <c r="H41">
        <v>2</v>
      </c>
    </row>
    <row r="42" spans="2:8" x14ac:dyDescent="0.35">
      <c r="B42" t="s">
        <v>739</v>
      </c>
      <c r="C42">
        <v>2</v>
      </c>
      <c r="D42">
        <v>2</v>
      </c>
      <c r="E42">
        <v>2</v>
      </c>
      <c r="F42">
        <v>2</v>
      </c>
      <c r="G42">
        <v>2</v>
      </c>
      <c r="H42">
        <v>2</v>
      </c>
    </row>
    <row r="43" spans="2:8" x14ac:dyDescent="0.35">
      <c r="B43" t="s">
        <v>740</v>
      </c>
      <c r="C43">
        <v>2</v>
      </c>
      <c r="D43">
        <v>2</v>
      </c>
      <c r="E43">
        <v>2</v>
      </c>
      <c r="F43">
        <v>2</v>
      </c>
      <c r="G43">
        <v>2</v>
      </c>
      <c r="H43">
        <v>2</v>
      </c>
    </row>
    <row r="44" spans="2:8" x14ac:dyDescent="0.35">
      <c r="B44" s="2" t="s">
        <v>704</v>
      </c>
      <c r="C44">
        <v>2</v>
      </c>
      <c r="D44">
        <v>2</v>
      </c>
      <c r="E44">
        <v>2</v>
      </c>
      <c r="F44">
        <v>2</v>
      </c>
      <c r="G44">
        <v>2</v>
      </c>
      <c r="H44">
        <v>2</v>
      </c>
    </row>
    <row r="45" spans="2:8" x14ac:dyDescent="0.35">
      <c r="B45" s="2" t="s">
        <v>729</v>
      </c>
      <c r="C45">
        <v>2</v>
      </c>
      <c r="D45">
        <v>2</v>
      </c>
      <c r="E45">
        <v>2</v>
      </c>
      <c r="F45">
        <v>2</v>
      </c>
      <c r="G45">
        <v>2</v>
      </c>
      <c r="H45">
        <v>2</v>
      </c>
    </row>
    <row r="46" spans="2:8" x14ac:dyDescent="0.35">
      <c r="B46" t="s">
        <v>746</v>
      </c>
      <c r="C46">
        <v>0</v>
      </c>
      <c r="D46">
        <v>1</v>
      </c>
      <c r="E46">
        <v>2</v>
      </c>
      <c r="F46">
        <v>0</v>
      </c>
      <c r="G46">
        <v>2</v>
      </c>
      <c r="H46">
        <v>2</v>
      </c>
    </row>
    <row r="47" spans="2:8" ht="29" x14ac:dyDescent="0.35">
      <c r="B47" s="2" t="s">
        <v>708</v>
      </c>
      <c r="C47">
        <v>2</v>
      </c>
      <c r="D47">
        <v>2</v>
      </c>
      <c r="E47">
        <v>2</v>
      </c>
      <c r="F47">
        <v>2</v>
      </c>
      <c r="G47">
        <v>2</v>
      </c>
      <c r="H47">
        <v>2</v>
      </c>
    </row>
    <row r="48" spans="2:8" x14ac:dyDescent="0.35">
      <c r="B48" s="2" t="s">
        <v>709</v>
      </c>
      <c r="C48">
        <v>2</v>
      </c>
      <c r="D48">
        <v>2</v>
      </c>
      <c r="E48">
        <v>2</v>
      </c>
      <c r="F48">
        <v>2</v>
      </c>
      <c r="G48">
        <v>2</v>
      </c>
      <c r="H48">
        <v>2</v>
      </c>
    </row>
    <row r="49" spans="1:9" x14ac:dyDescent="0.35">
      <c r="A49" s="1" t="s">
        <v>284</v>
      </c>
      <c r="B49" s="2" t="s">
        <v>680</v>
      </c>
      <c r="C49">
        <v>2</v>
      </c>
      <c r="D49">
        <v>1</v>
      </c>
      <c r="E49">
        <v>2</v>
      </c>
      <c r="F49">
        <v>2</v>
      </c>
      <c r="G49">
        <v>2</v>
      </c>
      <c r="H49">
        <v>0</v>
      </c>
    </row>
    <row r="50" spans="1:9" x14ac:dyDescent="0.35">
      <c r="A50" s="1"/>
      <c r="B50" s="2" t="s">
        <v>682</v>
      </c>
      <c r="C50">
        <v>2</v>
      </c>
      <c r="D50">
        <v>1</v>
      </c>
      <c r="E50">
        <v>2</v>
      </c>
      <c r="F50">
        <v>0</v>
      </c>
      <c r="G50">
        <v>0</v>
      </c>
      <c r="H50">
        <v>0</v>
      </c>
    </row>
    <row r="51" spans="1:9" x14ac:dyDescent="0.35">
      <c r="A51" s="1"/>
      <c r="B51" s="2" t="s">
        <v>687</v>
      </c>
      <c r="C51">
        <v>2</v>
      </c>
      <c r="D51">
        <v>2</v>
      </c>
      <c r="E51">
        <v>2</v>
      </c>
      <c r="F51">
        <v>2</v>
      </c>
      <c r="G51">
        <v>2</v>
      </c>
      <c r="H51">
        <v>2</v>
      </c>
    </row>
    <row r="52" spans="1:9" x14ac:dyDescent="0.35">
      <c r="A52" s="1"/>
      <c r="B52" s="2" t="s">
        <v>692</v>
      </c>
      <c r="C52">
        <v>2</v>
      </c>
      <c r="D52">
        <v>2</v>
      </c>
      <c r="E52">
        <v>2</v>
      </c>
      <c r="F52">
        <v>2</v>
      </c>
      <c r="G52">
        <v>2</v>
      </c>
      <c r="H52">
        <v>2</v>
      </c>
    </row>
    <row r="53" spans="1:9" x14ac:dyDescent="0.35">
      <c r="A53" s="1"/>
      <c r="B53" s="2" t="s">
        <v>732</v>
      </c>
      <c r="C53">
        <v>2</v>
      </c>
      <c r="D53">
        <v>2</v>
      </c>
      <c r="E53">
        <v>2</v>
      </c>
      <c r="F53">
        <v>2</v>
      </c>
      <c r="G53">
        <v>1</v>
      </c>
      <c r="H53">
        <v>2</v>
      </c>
    </row>
    <row r="54" spans="1:9" x14ac:dyDescent="0.35">
      <c r="A54" s="1"/>
      <c r="B54" t="s">
        <v>698</v>
      </c>
      <c r="C54">
        <v>2</v>
      </c>
      <c r="D54">
        <v>2</v>
      </c>
      <c r="E54">
        <v>2</v>
      </c>
      <c r="F54">
        <v>2</v>
      </c>
      <c r="G54">
        <v>2</v>
      </c>
      <c r="H54">
        <v>0</v>
      </c>
    </row>
    <row r="55" spans="1:9" x14ac:dyDescent="0.35">
      <c r="A55" s="1"/>
      <c r="B55" t="s">
        <v>705</v>
      </c>
      <c r="C55">
        <v>0</v>
      </c>
      <c r="D55">
        <v>0</v>
      </c>
      <c r="E55">
        <v>0</v>
      </c>
      <c r="F55">
        <v>0</v>
      </c>
      <c r="G55">
        <v>0</v>
      </c>
      <c r="H55">
        <v>0</v>
      </c>
    </row>
    <row r="56" spans="1:9" x14ac:dyDescent="0.35">
      <c r="A56" s="1" t="s">
        <v>395</v>
      </c>
      <c r="B56" s="2" t="s">
        <v>666</v>
      </c>
      <c r="C56">
        <v>2</v>
      </c>
      <c r="D56">
        <v>2</v>
      </c>
      <c r="E56">
        <v>2</v>
      </c>
      <c r="F56">
        <v>1</v>
      </c>
      <c r="G56">
        <v>2</v>
      </c>
      <c r="H56">
        <v>2</v>
      </c>
    </row>
    <row r="57" spans="1:9" x14ac:dyDescent="0.35">
      <c r="A57" s="1"/>
      <c r="B57" s="2" t="s">
        <v>674</v>
      </c>
      <c r="C57">
        <v>2</v>
      </c>
      <c r="D57">
        <v>2</v>
      </c>
      <c r="E57">
        <v>2</v>
      </c>
      <c r="F57">
        <v>1</v>
      </c>
      <c r="G57">
        <v>2</v>
      </c>
      <c r="H57">
        <v>2</v>
      </c>
    </row>
    <row r="58" spans="1:9" x14ac:dyDescent="0.35">
      <c r="A58" s="1"/>
      <c r="B58" s="2" t="s">
        <v>675</v>
      </c>
      <c r="C58">
        <v>2</v>
      </c>
      <c r="D58">
        <v>2</v>
      </c>
      <c r="E58">
        <v>2</v>
      </c>
      <c r="F58">
        <v>1</v>
      </c>
      <c r="G58">
        <v>2</v>
      </c>
      <c r="H58">
        <v>2</v>
      </c>
    </row>
    <row r="59" spans="1:9" x14ac:dyDescent="0.35">
      <c r="A59" s="1"/>
      <c r="B59" s="2" t="s">
        <v>667</v>
      </c>
      <c r="C59">
        <v>2</v>
      </c>
      <c r="D59">
        <v>2</v>
      </c>
      <c r="F59">
        <v>1</v>
      </c>
      <c r="G59">
        <v>1</v>
      </c>
      <c r="H59">
        <v>2</v>
      </c>
    </row>
    <row r="60" spans="1:9" x14ac:dyDescent="0.35">
      <c r="A60" s="1"/>
      <c r="B60" s="2" t="s">
        <v>713</v>
      </c>
      <c r="C60">
        <v>2</v>
      </c>
      <c r="D60">
        <v>2</v>
      </c>
      <c r="E60">
        <v>2</v>
      </c>
      <c r="F60">
        <v>1</v>
      </c>
      <c r="G60">
        <v>1</v>
      </c>
      <c r="H60">
        <v>2</v>
      </c>
    </row>
    <row r="61" spans="1:9" x14ac:dyDescent="0.35">
      <c r="A61" s="1"/>
      <c r="B61" s="2" t="s">
        <v>706</v>
      </c>
      <c r="C61">
        <v>0</v>
      </c>
      <c r="D61">
        <v>2</v>
      </c>
      <c r="E61">
        <v>2</v>
      </c>
      <c r="F61">
        <v>1</v>
      </c>
      <c r="G61">
        <v>0</v>
      </c>
      <c r="H61">
        <v>2</v>
      </c>
    </row>
    <row r="62" spans="1:9" x14ac:dyDescent="0.35">
      <c r="A62" s="1"/>
      <c r="B62" s="2" t="s">
        <v>734</v>
      </c>
      <c r="C62">
        <v>2</v>
      </c>
      <c r="D62">
        <v>2</v>
      </c>
      <c r="E62">
        <v>2</v>
      </c>
      <c r="F62">
        <v>0</v>
      </c>
      <c r="G62">
        <v>0</v>
      </c>
      <c r="H62">
        <v>2</v>
      </c>
    </row>
    <row r="63" spans="1:9" x14ac:dyDescent="0.35">
      <c r="A63" s="1"/>
      <c r="B63" s="2" t="s">
        <v>749</v>
      </c>
      <c r="C63">
        <v>2</v>
      </c>
      <c r="D63">
        <v>2</v>
      </c>
      <c r="E63">
        <v>2</v>
      </c>
      <c r="F63">
        <v>1</v>
      </c>
      <c r="G63">
        <v>1</v>
      </c>
      <c r="H63">
        <v>2</v>
      </c>
    </row>
    <row r="64" spans="1:9" s="3" customFormat="1" x14ac:dyDescent="0.35">
      <c r="F64" s="4"/>
      <c r="G64" s="4"/>
      <c r="H64" s="4"/>
      <c r="I64" s="4"/>
    </row>
    <row r="65" spans="2:8" x14ac:dyDescent="0.35">
      <c r="B65" s="2" t="s">
        <v>725</v>
      </c>
      <c r="C65">
        <v>1</v>
      </c>
      <c r="D65">
        <v>1</v>
      </c>
      <c r="E65">
        <v>1</v>
      </c>
    </row>
    <row r="66" spans="2:8" x14ac:dyDescent="0.35">
      <c r="B66" s="2" t="s">
        <v>726</v>
      </c>
      <c r="C66">
        <v>1</v>
      </c>
      <c r="D66">
        <v>1</v>
      </c>
      <c r="E66">
        <v>1</v>
      </c>
    </row>
    <row r="67" spans="2:8" x14ac:dyDescent="0.35">
      <c r="B67" s="2" t="s">
        <v>730</v>
      </c>
      <c r="C67">
        <v>0</v>
      </c>
    </row>
    <row r="68" spans="2:8" x14ac:dyDescent="0.35">
      <c r="B68" s="2" t="s">
        <v>710</v>
      </c>
      <c r="C68">
        <v>1</v>
      </c>
      <c r="D68">
        <v>1</v>
      </c>
      <c r="E68">
        <v>1</v>
      </c>
    </row>
    <row r="69" spans="2:8" x14ac:dyDescent="0.35">
      <c r="B69" s="2" t="s">
        <v>711</v>
      </c>
      <c r="C69">
        <v>1</v>
      </c>
      <c r="E69">
        <v>1</v>
      </c>
    </row>
    <row r="70" spans="2:8" x14ac:dyDescent="0.35">
      <c r="B70" s="2" t="s">
        <v>712</v>
      </c>
      <c r="C70">
        <v>1</v>
      </c>
      <c r="D70">
        <v>1</v>
      </c>
      <c r="E70">
        <v>1</v>
      </c>
    </row>
    <row r="71" spans="2:8" x14ac:dyDescent="0.35">
      <c r="B71" s="2" t="s">
        <v>719</v>
      </c>
      <c r="C71">
        <v>1</v>
      </c>
      <c r="D71">
        <v>1</v>
      </c>
      <c r="H71">
        <v>1</v>
      </c>
    </row>
    <row r="72" spans="2:8" x14ac:dyDescent="0.35">
      <c r="B72" s="2" t="s">
        <v>720</v>
      </c>
      <c r="C72">
        <v>1</v>
      </c>
      <c r="D72">
        <v>1</v>
      </c>
    </row>
    <row r="73" spans="2:8" x14ac:dyDescent="0.35">
      <c r="B73" s="2" t="s">
        <v>727</v>
      </c>
      <c r="C73">
        <v>1</v>
      </c>
    </row>
    <row r="74" spans="2:8" x14ac:dyDescent="0.35">
      <c r="B74" t="s">
        <v>737</v>
      </c>
      <c r="D74">
        <v>1</v>
      </c>
    </row>
    <row r="75" spans="2:8" x14ac:dyDescent="0.35">
      <c r="B75" s="2" t="s">
        <v>714</v>
      </c>
      <c r="C75">
        <v>1</v>
      </c>
      <c r="E75">
        <v>1</v>
      </c>
      <c r="F75">
        <v>1</v>
      </c>
      <c r="G75">
        <v>1</v>
      </c>
      <c r="H75">
        <v>1</v>
      </c>
    </row>
    <row r="76" spans="2:8" ht="29" x14ac:dyDescent="0.35">
      <c r="B76" s="2" t="s">
        <v>744</v>
      </c>
      <c r="C76">
        <v>1</v>
      </c>
      <c r="D76">
        <v>1</v>
      </c>
      <c r="E76">
        <v>1</v>
      </c>
      <c r="G76">
        <v>1</v>
      </c>
      <c r="H76">
        <v>1</v>
      </c>
    </row>
    <row r="77" spans="2:8" ht="29" x14ac:dyDescent="0.35">
      <c r="B77" s="2" t="s">
        <v>715</v>
      </c>
      <c r="C77">
        <v>1</v>
      </c>
      <c r="D77">
        <v>1</v>
      </c>
      <c r="E77">
        <v>1</v>
      </c>
    </row>
    <row r="78" spans="2:8" x14ac:dyDescent="0.35">
      <c r="B78" s="2" t="s">
        <v>716</v>
      </c>
      <c r="C78">
        <v>1</v>
      </c>
      <c r="D78">
        <v>1</v>
      </c>
      <c r="E78">
        <v>1</v>
      </c>
    </row>
    <row r="79" spans="2:8" x14ac:dyDescent="0.35">
      <c r="B79" s="2" t="s">
        <v>717</v>
      </c>
      <c r="C79">
        <v>0</v>
      </c>
    </row>
    <row r="80" spans="2:8" x14ac:dyDescent="0.35">
      <c r="B80" s="2" t="s">
        <v>718</v>
      </c>
      <c r="C80">
        <v>1</v>
      </c>
      <c r="D80">
        <v>1</v>
      </c>
      <c r="E80">
        <v>1</v>
      </c>
      <c r="H80">
        <v>1</v>
      </c>
    </row>
    <row r="81" spans="2:8" ht="43.5" x14ac:dyDescent="0.35">
      <c r="B81" s="2" t="s">
        <v>747</v>
      </c>
      <c r="C81">
        <v>1</v>
      </c>
      <c r="D81">
        <v>1</v>
      </c>
      <c r="E81">
        <v>1</v>
      </c>
      <c r="F81">
        <v>1</v>
      </c>
      <c r="G81">
        <v>1</v>
      </c>
      <c r="H81">
        <v>1</v>
      </c>
    </row>
    <row r="82" spans="2:8" ht="29" x14ac:dyDescent="0.35">
      <c r="B82" s="2" t="s">
        <v>721</v>
      </c>
      <c r="C82">
        <v>1</v>
      </c>
      <c r="D82">
        <v>1</v>
      </c>
      <c r="E82">
        <v>1</v>
      </c>
      <c r="F82">
        <v>1</v>
      </c>
    </row>
    <row r="83" spans="2:8" x14ac:dyDescent="0.35">
      <c r="B83" s="2" t="s">
        <v>722</v>
      </c>
      <c r="C83">
        <v>1</v>
      </c>
    </row>
    <row r="84" spans="2:8" x14ac:dyDescent="0.35">
      <c r="B84" s="2" t="s">
        <v>723</v>
      </c>
      <c r="C84">
        <v>1</v>
      </c>
      <c r="D84">
        <v>1</v>
      </c>
      <c r="E84">
        <v>1</v>
      </c>
      <c r="F84">
        <v>1</v>
      </c>
      <c r="G84">
        <v>1</v>
      </c>
      <c r="H84">
        <v>1</v>
      </c>
    </row>
    <row r="85" spans="2:8" ht="29" x14ac:dyDescent="0.35">
      <c r="B85" s="2" t="s">
        <v>724</v>
      </c>
      <c r="C85">
        <v>1</v>
      </c>
      <c r="D85">
        <v>1</v>
      </c>
    </row>
    <row r="86" spans="2:8" ht="29" x14ac:dyDescent="0.35">
      <c r="B86" s="2" t="s">
        <v>728</v>
      </c>
      <c r="C86">
        <v>1</v>
      </c>
      <c r="D86">
        <v>1</v>
      </c>
      <c r="F86">
        <v>1</v>
      </c>
      <c r="G86">
        <v>1</v>
      </c>
      <c r="H86">
        <v>1</v>
      </c>
    </row>
    <row r="87" spans="2:8" x14ac:dyDescent="0.35">
      <c r="B87" s="2" t="s">
        <v>731</v>
      </c>
      <c r="C87">
        <v>1</v>
      </c>
      <c r="D87">
        <v>1</v>
      </c>
      <c r="E87">
        <v>1</v>
      </c>
      <c r="F87">
        <v>1</v>
      </c>
      <c r="G87">
        <v>1</v>
      </c>
      <c r="H87">
        <v>1</v>
      </c>
    </row>
    <row r="88" spans="2:8" x14ac:dyDescent="0.35">
      <c r="B88" t="s">
        <v>733</v>
      </c>
      <c r="D88">
        <v>1</v>
      </c>
      <c r="E88">
        <v>1</v>
      </c>
      <c r="H88">
        <v>1</v>
      </c>
    </row>
    <row r="89" spans="2:8" x14ac:dyDescent="0.35">
      <c r="B89" t="s">
        <v>735</v>
      </c>
      <c r="D89">
        <v>0</v>
      </c>
    </row>
    <row r="90" spans="2:8" ht="29" x14ac:dyDescent="0.35">
      <c r="B90" s="2" t="s">
        <v>738</v>
      </c>
      <c r="D90">
        <v>1</v>
      </c>
    </row>
    <row r="91" spans="2:8" x14ac:dyDescent="0.35">
      <c r="B91" s="2" t="s">
        <v>741</v>
      </c>
      <c r="D91">
        <v>1</v>
      </c>
      <c r="E91">
        <v>1</v>
      </c>
    </row>
    <row r="92" spans="2:8" x14ac:dyDescent="0.35">
      <c r="B92" s="2" t="s">
        <v>742</v>
      </c>
      <c r="D92">
        <v>1</v>
      </c>
    </row>
    <row r="93" spans="2:8" x14ac:dyDescent="0.35">
      <c r="B93" s="2" t="s">
        <v>743</v>
      </c>
      <c r="D93">
        <v>1</v>
      </c>
    </row>
    <row r="94" spans="2:8" ht="29" x14ac:dyDescent="0.35">
      <c r="B94" s="2" t="s">
        <v>745</v>
      </c>
      <c r="E94">
        <v>1</v>
      </c>
    </row>
    <row r="95" spans="2:8" ht="29" x14ac:dyDescent="0.35">
      <c r="B95" s="2" t="s">
        <v>748</v>
      </c>
      <c r="E95">
        <v>0</v>
      </c>
    </row>
    <row r="96" spans="2:8" x14ac:dyDescent="0.35">
      <c r="B96" s="2" t="s">
        <v>750</v>
      </c>
      <c r="F96">
        <v>0</v>
      </c>
    </row>
    <row r="97" spans="2:8" x14ac:dyDescent="0.35">
      <c r="B97" s="2" t="s">
        <v>751</v>
      </c>
      <c r="H97">
        <v>1</v>
      </c>
    </row>
    <row r="103" spans="2:8" x14ac:dyDescent="0.35">
      <c r="B103" s="6"/>
    </row>
    <row r="109" spans="2:8" ht="15.5" x14ac:dyDescent="0.35">
      <c r="B109" s="8"/>
    </row>
    <row r="110" spans="2:8" ht="15.5" x14ac:dyDescent="0.35">
      <c r="B110" s="9"/>
    </row>
    <row r="111" spans="2:8" ht="15.5" x14ac:dyDescent="0.35">
      <c r="B111" s="8"/>
    </row>
    <row r="112" spans="2:8" ht="15.5" x14ac:dyDescent="0.35">
      <c r="B112" s="8"/>
    </row>
    <row r="113" spans="2:2" ht="15.5" x14ac:dyDescent="0.35">
      <c r="B113" s="9"/>
    </row>
    <row r="114" spans="2:2" ht="15.5" x14ac:dyDescent="0.35">
      <c r="B114" s="9"/>
    </row>
    <row r="115" spans="2:2" ht="15.5" x14ac:dyDescent="0.35">
      <c r="B115" s="8"/>
    </row>
    <row r="116" spans="2:2" x14ac:dyDescent="0.35">
      <c r="B116" s="6"/>
    </row>
  </sheetData>
  <conditionalFormatting sqref="D10:D63">
    <cfRule type="iconSet" priority="1034">
      <iconSet iconSet="3Symbols">
        <cfvo type="percent" val="0"/>
        <cfvo type="num" val="1"/>
        <cfvo type="num" val="2"/>
      </iconSet>
    </cfRule>
  </conditionalFormatting>
  <conditionalFormatting sqref="E10:E15">
    <cfRule type="iconSet" priority="2">
      <iconSet iconSet="3Symbols">
        <cfvo type="percent" val="0"/>
        <cfvo type="num" val="1"/>
        <cfvo type="num" val="2"/>
      </iconSet>
    </cfRule>
  </conditionalFormatting>
  <conditionalFormatting sqref="E16:E63">
    <cfRule type="iconSet" priority="1036">
      <iconSet iconSet="3Symbols">
        <cfvo type="percent" val="0"/>
        <cfvo type="num" val="1"/>
        <cfvo type="num" val="2"/>
      </iconSet>
    </cfRule>
  </conditionalFormatting>
  <conditionalFormatting sqref="F90:I90 H89:I89 F68:I88 F76:F99">
    <cfRule type="iconSet" priority="1085">
      <iconSet iconSet="3Symbols">
        <cfvo type="percent" val="0"/>
        <cfvo type="num" val="1"/>
        <cfvo type="num" val="2"/>
      </iconSet>
    </cfRule>
  </conditionalFormatting>
  <conditionalFormatting sqref="G96 C90:I94 C95:G95 I95 C89:F89 H89:I89 H97:H102 C64:I64 C78:I88 C10:C63 C65:D82 F68:I77 E65:E77 F76:F99 F10:I63 C65:E66">
    <cfRule type="iconSet" priority="5">
      <iconSet iconSet="3Symbols">
        <cfvo type="percent" val="0"/>
        <cfvo type="num" val="1"/>
        <cfvo type="num" val="2"/>
      </iconSet>
    </cfRule>
  </conditionalFormatting>
  <conditionalFormatting sqref="J68:J90 J24:J64 J10:J21">
    <cfRule type="iconSet" priority="1071">
      <iconSet>
        <cfvo type="percent" val="0"/>
        <cfvo type="num" val="1"/>
        <cfvo type="num" val="2"/>
      </iconSet>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Avg</vt:lpstr>
      <vt:lpstr>Jaccard</vt:lpstr>
      <vt:lpstr>Total (c1-c16)</vt:lpstr>
      <vt:lpstr>Total (c1-c12)</vt:lpstr>
      <vt:lpstr>Total (c13-c16)</vt:lpstr>
      <vt:lpstr>c1</vt:lpstr>
      <vt:lpstr>c2</vt:lpstr>
      <vt:lpstr>c3</vt:lpstr>
      <vt:lpstr>c4</vt:lpstr>
      <vt:lpstr>c5</vt:lpstr>
      <vt:lpstr>c6</vt:lpstr>
      <vt:lpstr>c7</vt:lpstr>
      <vt:lpstr>c8</vt:lpstr>
      <vt:lpstr>c9</vt:lpstr>
      <vt:lpstr>c10</vt:lpstr>
      <vt:lpstr>c11</vt:lpstr>
      <vt:lpstr>c12</vt:lpstr>
      <vt:lpstr>c13</vt:lpstr>
      <vt:lpstr>c14</vt:lpstr>
      <vt:lpstr>c15</vt:lpstr>
      <vt:lpstr>c16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dc:creator>
  <cp:lastModifiedBy>Safan, Aya Mohamed Abdelaziz</cp:lastModifiedBy>
  <dcterms:created xsi:type="dcterms:W3CDTF">2025-09-19T13:20:01Z</dcterms:created>
  <dcterms:modified xsi:type="dcterms:W3CDTF">2026-02-06T15:09:38Z</dcterms:modified>
</cp:coreProperties>
</file>