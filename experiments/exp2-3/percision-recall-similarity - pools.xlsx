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66925"/>
  <mc:AlternateContent xmlns:mc="http://schemas.openxmlformats.org/markup-compatibility/2006">
    <mc:Choice Requires="x15">
      <x15ac:absPath xmlns:x15ac="http://schemas.microsoft.com/office/spreadsheetml/2010/11/ac" url="E:\Seafile\Study\Thesis\Results\experiments\exp1-2\"/>
    </mc:Choice>
  </mc:AlternateContent>
  <xr:revisionPtr revIDLastSave="0" documentId="13_ncr:1_{3A6753D3-6BB3-40C6-A6B9-DD73B5484B17}" xr6:coauthVersionLast="47" xr6:coauthVersionMax="47" xr10:uidLastSave="{00000000-0000-0000-0000-000000000000}"/>
  <bookViews>
    <workbookView xWindow="-110" yWindow="-110" windowWidth="25820" windowHeight="15500" xr2:uid="{9336CD10-A009-49F3-A5E4-9A9E329E5D94}"/>
  </bookViews>
  <sheets>
    <sheet name="Avg" sheetId="27" r:id="rId1"/>
    <sheet name="c1" sheetId="1" r:id="rId2"/>
    <sheet name="c2" sheetId="5" r:id="rId3"/>
    <sheet name="c3" sheetId="13" r:id="rId4"/>
    <sheet name="c4" sheetId="7" r:id="rId5"/>
    <sheet name="c5" sheetId="8" r:id="rId6"/>
    <sheet name="c6" sheetId="29" r:id="rId7"/>
    <sheet name="c7" sheetId="9" r:id="rId8"/>
    <sheet name="c8" sheetId="11" r:id="rId9"/>
    <sheet name="c9" sheetId="16" r:id="rId10"/>
    <sheet name="c10" sheetId="18" r:id="rId11"/>
    <sheet name="c11" sheetId="19" r:id="rId12"/>
    <sheet name="c12" sheetId="20" r:id="rId13"/>
    <sheet name="c13" sheetId="24" r:id="rId14"/>
    <sheet name="c14" sheetId="21" r:id="rId15"/>
    <sheet name="c15" sheetId="22" r:id="rId16"/>
    <sheet name="c16" sheetId="23"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9" i="5" l="1"/>
  <c r="C1" i="5" s="1"/>
  <c r="H3" i="20" l="1"/>
  <c r="G3" i="20"/>
  <c r="H1" i="20"/>
  <c r="G1" i="20"/>
  <c r="H4" i="20"/>
  <c r="G4" i="20"/>
  <c r="F4" i="20"/>
  <c r="E4" i="20"/>
  <c r="D4" i="20"/>
  <c r="C4" i="20"/>
  <c r="F3" i="20"/>
  <c r="E3" i="20"/>
  <c r="D3" i="20"/>
  <c r="C3" i="20"/>
  <c r="H2" i="20"/>
  <c r="G2" i="20"/>
  <c r="F2" i="20"/>
  <c r="E2" i="20"/>
  <c r="D2" i="20"/>
  <c r="C2" i="20"/>
  <c r="F1" i="20"/>
  <c r="E1" i="20"/>
  <c r="D1" i="20"/>
  <c r="C1" i="20"/>
  <c r="H4" i="13" l="1"/>
  <c r="G4" i="13"/>
  <c r="F4" i="13"/>
  <c r="E4" i="13"/>
  <c r="D4" i="13"/>
  <c r="C4" i="13"/>
  <c r="H2" i="13"/>
  <c r="G2" i="13"/>
  <c r="F2" i="13"/>
  <c r="E2" i="13"/>
  <c r="D2" i="13"/>
  <c r="C2" i="13"/>
  <c r="H4" i="9"/>
  <c r="G4" i="9"/>
  <c r="F4" i="9"/>
  <c r="E4" i="9"/>
  <c r="D4" i="9"/>
  <c r="C4" i="9"/>
  <c r="H4" i="29"/>
  <c r="G4" i="29"/>
  <c r="F4" i="29"/>
  <c r="E4" i="29"/>
  <c r="D4" i="29"/>
  <c r="C4" i="29"/>
  <c r="H2" i="9"/>
  <c r="G2" i="9"/>
  <c r="F2" i="9"/>
  <c r="E2" i="9"/>
  <c r="D2" i="9"/>
  <c r="C2" i="9"/>
  <c r="H2" i="29"/>
  <c r="G2" i="29"/>
  <c r="F2" i="29"/>
  <c r="E2" i="29"/>
  <c r="D2" i="29"/>
  <c r="C2" i="29"/>
  <c r="H9" i="29"/>
  <c r="H1" i="29" s="1"/>
  <c r="G9" i="29"/>
  <c r="G1" i="29" s="1"/>
  <c r="F9" i="29"/>
  <c r="F1" i="29" s="1"/>
  <c r="E9" i="29"/>
  <c r="E1" i="29" s="1"/>
  <c r="D9" i="29"/>
  <c r="D1" i="29" s="1"/>
  <c r="C9" i="29"/>
  <c r="C1" i="29" s="1"/>
  <c r="H8" i="29"/>
  <c r="H3" i="29" s="1"/>
  <c r="G8" i="29"/>
  <c r="G3" i="29" s="1"/>
  <c r="F8" i="29"/>
  <c r="F3" i="29" s="1"/>
  <c r="E8" i="29"/>
  <c r="E3" i="29" s="1"/>
  <c r="D8" i="29"/>
  <c r="D3" i="29" s="1"/>
  <c r="C8" i="29"/>
  <c r="C3" i="29" s="1"/>
  <c r="H7" i="29"/>
  <c r="G7" i="29"/>
  <c r="F7" i="29"/>
  <c r="E7" i="29"/>
  <c r="D7" i="29"/>
  <c r="C7" i="29"/>
  <c r="H6" i="29"/>
  <c r="G6" i="29"/>
  <c r="F6" i="29"/>
  <c r="E6" i="29"/>
  <c r="D6" i="29"/>
  <c r="C6" i="29"/>
  <c r="H5" i="29"/>
  <c r="G5" i="29"/>
  <c r="F5" i="29"/>
  <c r="E5" i="29"/>
  <c r="D5" i="29"/>
  <c r="C5" i="29"/>
  <c r="H7" i="24" l="1"/>
  <c r="G7" i="24"/>
  <c r="F7" i="24"/>
  <c r="E7" i="24"/>
  <c r="D7" i="24"/>
  <c r="H6" i="24"/>
  <c r="G6" i="24"/>
  <c r="F6" i="24"/>
  <c r="E6" i="24"/>
  <c r="D6" i="24"/>
  <c r="C7" i="24"/>
  <c r="C6" i="24"/>
  <c r="H5" i="24"/>
  <c r="G5" i="24"/>
  <c r="F5" i="24"/>
  <c r="E5" i="24"/>
  <c r="D5" i="24"/>
  <c r="C5" i="24"/>
  <c r="H9" i="23"/>
  <c r="G9" i="23"/>
  <c r="F9" i="23"/>
  <c r="E9" i="23"/>
  <c r="D9" i="23"/>
  <c r="C9" i="23"/>
  <c r="H8" i="23"/>
  <c r="G8" i="23"/>
  <c r="F8" i="23"/>
  <c r="E8" i="23"/>
  <c r="D8" i="23"/>
  <c r="C8" i="23"/>
  <c r="H7" i="23"/>
  <c r="G7" i="23"/>
  <c r="F7" i="23"/>
  <c r="E7" i="23"/>
  <c r="D7" i="23"/>
  <c r="C7" i="23"/>
  <c r="H6" i="23"/>
  <c r="G6" i="23"/>
  <c r="F6" i="23"/>
  <c r="E6" i="23"/>
  <c r="D6" i="23"/>
  <c r="C6" i="23"/>
  <c r="H5" i="23"/>
  <c r="G5" i="23"/>
  <c r="F5" i="23"/>
  <c r="E5" i="23"/>
  <c r="D5" i="23"/>
  <c r="C5" i="23"/>
  <c r="H9" i="22"/>
  <c r="G9" i="22"/>
  <c r="F9" i="22"/>
  <c r="E9" i="22"/>
  <c r="D9" i="22"/>
  <c r="C9" i="22"/>
  <c r="H8" i="22"/>
  <c r="G8" i="22"/>
  <c r="F8" i="22"/>
  <c r="E8" i="22"/>
  <c r="D8" i="22"/>
  <c r="C8" i="22"/>
  <c r="H7" i="22"/>
  <c r="G7" i="22"/>
  <c r="F7" i="22"/>
  <c r="E7" i="22"/>
  <c r="D7" i="22"/>
  <c r="C7" i="22"/>
  <c r="H6" i="22"/>
  <c r="G6" i="22"/>
  <c r="F6" i="22"/>
  <c r="E6" i="22"/>
  <c r="D6" i="22"/>
  <c r="C6" i="22"/>
  <c r="H5" i="22"/>
  <c r="G5" i="22"/>
  <c r="F5" i="22"/>
  <c r="E5" i="22"/>
  <c r="D5" i="22"/>
  <c r="C5" i="22"/>
  <c r="H9" i="21"/>
  <c r="G9" i="21"/>
  <c r="F9" i="21"/>
  <c r="E9" i="21"/>
  <c r="D9" i="21"/>
  <c r="C9" i="21"/>
  <c r="H8" i="21"/>
  <c r="G8" i="21"/>
  <c r="F8" i="21"/>
  <c r="E8" i="21"/>
  <c r="D8" i="21"/>
  <c r="C8" i="21"/>
  <c r="H7" i="5"/>
  <c r="G7" i="5"/>
  <c r="F7" i="5"/>
  <c r="E7" i="5"/>
  <c r="D7" i="5"/>
  <c r="C7" i="5"/>
  <c r="H6" i="5"/>
  <c r="G6" i="5"/>
  <c r="F6" i="5"/>
  <c r="E6" i="5"/>
  <c r="D6" i="5"/>
  <c r="C6" i="5"/>
  <c r="C8" i="24"/>
  <c r="H5" i="18"/>
  <c r="G5" i="18"/>
  <c r="F5" i="18"/>
  <c r="E5" i="18"/>
  <c r="D5" i="18"/>
  <c r="H5" i="19"/>
  <c r="G5" i="19"/>
  <c r="F5" i="19"/>
  <c r="E5" i="19"/>
  <c r="D5" i="19"/>
  <c r="C5" i="19"/>
  <c r="H7" i="20"/>
  <c r="G7" i="20"/>
  <c r="F7" i="20"/>
  <c r="E7" i="20"/>
  <c r="D7" i="20"/>
  <c r="C7" i="20"/>
  <c r="H6" i="20"/>
  <c r="G6" i="20"/>
  <c r="F6" i="20"/>
  <c r="E6" i="20"/>
  <c r="D6" i="20"/>
  <c r="C6" i="20"/>
  <c r="H5" i="20"/>
  <c r="G5" i="20"/>
  <c r="F5" i="20"/>
  <c r="E5" i="20"/>
  <c r="D5" i="20"/>
  <c r="C5" i="20"/>
  <c r="H6" i="18"/>
  <c r="G6" i="18"/>
  <c r="F6" i="18"/>
  <c r="E6" i="18"/>
  <c r="D6" i="18"/>
  <c r="H7" i="18"/>
  <c r="G7" i="18"/>
  <c r="F7" i="18"/>
  <c r="E7" i="18"/>
  <c r="D7" i="18"/>
  <c r="C6" i="18"/>
  <c r="H7" i="19"/>
  <c r="G7" i="19"/>
  <c r="F7" i="19"/>
  <c r="E7" i="19"/>
  <c r="D7" i="19"/>
  <c r="C7" i="19"/>
  <c r="H6" i="19"/>
  <c r="G6" i="19"/>
  <c r="F6" i="19"/>
  <c r="E6" i="19"/>
  <c r="D6" i="19"/>
  <c r="C6" i="19"/>
  <c r="C7" i="18"/>
  <c r="C5" i="18"/>
  <c r="E5" i="7"/>
  <c r="C5" i="5"/>
  <c r="D5" i="5"/>
  <c r="E5" i="5"/>
  <c r="F5" i="5"/>
  <c r="G5" i="5"/>
  <c r="H5" i="5"/>
  <c r="C8" i="5"/>
  <c r="D8" i="5"/>
  <c r="E8" i="5"/>
  <c r="F8" i="5"/>
  <c r="G8" i="5"/>
  <c r="H8" i="5"/>
  <c r="D9" i="5"/>
  <c r="E9" i="5"/>
  <c r="F9" i="5"/>
  <c r="G9" i="5"/>
  <c r="H9" i="5"/>
  <c r="C5" i="13"/>
  <c r="D5" i="13"/>
  <c r="E5" i="13"/>
  <c r="F5" i="13"/>
  <c r="G5" i="13"/>
  <c r="H5" i="13"/>
  <c r="C6" i="13"/>
  <c r="D6" i="13"/>
  <c r="E6" i="13"/>
  <c r="F6" i="13"/>
  <c r="G6" i="13"/>
  <c r="H6" i="13"/>
  <c r="C7" i="13"/>
  <c r="D7" i="13"/>
  <c r="E7" i="13"/>
  <c r="F7" i="13"/>
  <c r="G7" i="13"/>
  <c r="H7" i="13"/>
  <c r="C8" i="13"/>
  <c r="D8" i="13"/>
  <c r="E8" i="13"/>
  <c r="F8" i="13"/>
  <c r="G8" i="13"/>
  <c r="H8" i="13"/>
  <c r="C9" i="13"/>
  <c r="D9" i="13"/>
  <c r="E9" i="13"/>
  <c r="F9" i="13"/>
  <c r="G9" i="13"/>
  <c r="H9" i="13"/>
  <c r="C5" i="7"/>
  <c r="D5" i="7"/>
  <c r="F5" i="7"/>
  <c r="G5" i="7"/>
  <c r="H5" i="7"/>
  <c r="C6" i="7"/>
  <c r="D6" i="7"/>
  <c r="E6" i="7"/>
  <c r="F6" i="7"/>
  <c r="G6" i="7"/>
  <c r="H6" i="7"/>
  <c r="C7" i="7"/>
  <c r="D7" i="7"/>
  <c r="E7" i="7"/>
  <c r="F7" i="7"/>
  <c r="G7" i="7"/>
  <c r="H7" i="7"/>
  <c r="C8" i="7"/>
  <c r="D8" i="7"/>
  <c r="E8" i="7"/>
  <c r="F8" i="7"/>
  <c r="G8" i="7"/>
  <c r="H8" i="7"/>
  <c r="C9" i="7"/>
  <c r="D9" i="7"/>
  <c r="E9" i="7"/>
  <c r="F9" i="7"/>
  <c r="G9" i="7"/>
  <c r="H9" i="7"/>
  <c r="D5" i="1"/>
  <c r="C5" i="1"/>
  <c r="H7" i="21"/>
  <c r="G7" i="21"/>
  <c r="F7" i="21"/>
  <c r="E7" i="21"/>
  <c r="D7" i="21"/>
  <c r="H6" i="21"/>
  <c r="G6" i="21"/>
  <c r="F6" i="21"/>
  <c r="E6" i="21"/>
  <c r="D6" i="21"/>
  <c r="H5" i="21"/>
  <c r="G5" i="21"/>
  <c r="F5" i="21"/>
  <c r="E5" i="21"/>
  <c r="D5" i="21"/>
  <c r="C7" i="21"/>
  <c r="C6" i="21"/>
  <c r="C5" i="21"/>
  <c r="H9" i="24"/>
  <c r="G9" i="24"/>
  <c r="F9" i="24"/>
  <c r="E9" i="24"/>
  <c r="H8" i="24"/>
  <c r="G8" i="24"/>
  <c r="F8" i="24"/>
  <c r="E8" i="24"/>
  <c r="D9" i="24"/>
  <c r="D8" i="24"/>
  <c r="C9" i="24"/>
  <c r="F9" i="20"/>
  <c r="F8" i="20"/>
  <c r="D2" i="23" l="1"/>
  <c r="D3" i="23"/>
  <c r="D4" i="23"/>
  <c r="D1" i="23"/>
  <c r="H2" i="23"/>
  <c r="H3" i="23"/>
  <c r="H4" i="23"/>
  <c r="H1" i="23"/>
  <c r="F3" i="23"/>
  <c r="F4" i="23"/>
  <c r="F1" i="23"/>
  <c r="F2" i="23"/>
  <c r="C3" i="23"/>
  <c r="C2" i="23"/>
  <c r="C4" i="23"/>
  <c r="C1" i="23"/>
  <c r="E2" i="23"/>
  <c r="E3" i="23"/>
  <c r="E4" i="23"/>
  <c r="E1" i="23"/>
  <c r="G3" i="23"/>
  <c r="C14" i="27" s="1"/>
  <c r="G1" i="23"/>
  <c r="G4" i="23"/>
  <c r="H14" i="27" s="1"/>
  <c r="G2" i="23"/>
  <c r="C2" i="22"/>
  <c r="C4" i="22"/>
  <c r="C3" i="22"/>
  <c r="C1" i="22"/>
  <c r="D3" i="22"/>
  <c r="D4" i="22"/>
  <c r="D2" i="22"/>
  <c r="D1" i="22"/>
  <c r="E4" i="22"/>
  <c r="E3" i="22"/>
  <c r="E2" i="22"/>
  <c r="E1" i="22"/>
  <c r="F2" i="22"/>
  <c r="F4" i="22"/>
  <c r="F1" i="22"/>
  <c r="F3" i="22"/>
  <c r="G4" i="22"/>
  <c r="G3" i="22"/>
  <c r="G2" i="22"/>
  <c r="G1" i="22"/>
  <c r="H3" i="22"/>
  <c r="H4" i="22"/>
  <c r="H2" i="22"/>
  <c r="H1" i="22"/>
  <c r="C4" i="21"/>
  <c r="C2" i="21"/>
  <c r="C3" i="21"/>
  <c r="C1" i="21"/>
  <c r="D2" i="21"/>
  <c r="D4" i="21"/>
  <c r="D3" i="21"/>
  <c r="D1" i="21"/>
  <c r="F3" i="21"/>
  <c r="F4" i="21"/>
  <c r="F2" i="21"/>
  <c r="F1" i="21"/>
  <c r="G3" i="21"/>
  <c r="G2" i="21"/>
  <c r="G4" i="21"/>
  <c r="G1" i="21"/>
  <c r="E3" i="21"/>
  <c r="E2" i="21"/>
  <c r="E4" i="21"/>
  <c r="E1" i="21"/>
  <c r="H4" i="21"/>
  <c r="H1" i="21"/>
  <c r="H2" i="21"/>
  <c r="H3" i="21"/>
  <c r="G1" i="24"/>
  <c r="G4" i="24"/>
  <c r="G2" i="24"/>
  <c r="G3" i="24"/>
  <c r="F3" i="24"/>
  <c r="F4" i="24"/>
  <c r="F2" i="24"/>
  <c r="F1" i="24"/>
  <c r="D4" i="24"/>
  <c r="D3" i="24"/>
  <c r="D1" i="24"/>
  <c r="D2" i="24"/>
  <c r="C4" i="24"/>
  <c r="C2" i="24"/>
  <c r="C1" i="24"/>
  <c r="C3" i="24"/>
  <c r="E4" i="24"/>
  <c r="E1" i="24"/>
  <c r="E3" i="24"/>
  <c r="E2" i="24"/>
  <c r="H4" i="24"/>
  <c r="H2" i="24"/>
  <c r="H3" i="24"/>
  <c r="C11" i="27" s="1"/>
  <c r="H1" i="24"/>
  <c r="D4" i="19"/>
  <c r="D2" i="19"/>
  <c r="G4" i="19"/>
  <c r="G2" i="19"/>
  <c r="C1" i="19"/>
  <c r="C2" i="19"/>
  <c r="C3" i="19"/>
  <c r="C4" i="19"/>
  <c r="E2" i="19"/>
  <c r="E1" i="19"/>
  <c r="E3" i="19"/>
  <c r="E4" i="19"/>
  <c r="H2" i="19"/>
  <c r="H4" i="19"/>
  <c r="H3" i="19"/>
  <c r="F4" i="19"/>
  <c r="F1" i="19"/>
  <c r="F3" i="19"/>
  <c r="F2" i="19"/>
  <c r="C4" i="18"/>
  <c r="C2" i="18"/>
  <c r="D2" i="18"/>
  <c r="D4" i="18"/>
  <c r="E2" i="18"/>
  <c r="E4" i="18"/>
  <c r="E3" i="18"/>
  <c r="G4" i="18"/>
  <c r="G2" i="18"/>
  <c r="H4" i="18"/>
  <c r="H2" i="18"/>
  <c r="F4" i="18"/>
  <c r="F2" i="18"/>
  <c r="H4" i="7"/>
  <c r="H3" i="7"/>
  <c r="H2" i="7"/>
  <c r="H1" i="7"/>
  <c r="D4" i="7"/>
  <c r="D3" i="7"/>
  <c r="D2" i="7"/>
  <c r="D1" i="7"/>
  <c r="F4" i="7"/>
  <c r="F3" i="7"/>
  <c r="F2" i="7"/>
  <c r="F1" i="7"/>
  <c r="G4" i="7"/>
  <c r="G3" i="7"/>
  <c r="G2" i="7"/>
  <c r="G1" i="7"/>
  <c r="E4" i="7"/>
  <c r="E3" i="7"/>
  <c r="E2" i="7"/>
  <c r="E1" i="7"/>
  <c r="C4" i="7"/>
  <c r="C3" i="7"/>
  <c r="C2" i="7"/>
  <c r="C1" i="7"/>
  <c r="F3" i="13"/>
  <c r="F1" i="13"/>
  <c r="E3" i="13"/>
  <c r="E1" i="13"/>
  <c r="C3" i="13"/>
  <c r="C1" i="13"/>
  <c r="H1" i="13"/>
  <c r="H3" i="13"/>
  <c r="G3" i="13"/>
  <c r="G1" i="13"/>
  <c r="D3" i="13"/>
  <c r="D1" i="13"/>
  <c r="D4" i="5"/>
  <c r="D3" i="5"/>
  <c r="D1" i="5"/>
  <c r="D2" i="5"/>
  <c r="G3" i="5"/>
  <c r="G4" i="5"/>
  <c r="G2" i="5"/>
  <c r="G1" i="5"/>
  <c r="H2" i="5"/>
  <c r="H3" i="5"/>
  <c r="H1" i="5"/>
  <c r="H4" i="5"/>
  <c r="C3" i="5"/>
  <c r="B3" i="27" s="1"/>
  <c r="C4" i="5"/>
  <c r="G3" i="27" s="1"/>
  <c r="C2" i="5"/>
  <c r="E3" i="5"/>
  <c r="E2" i="5"/>
  <c r="E1" i="5"/>
  <c r="E4" i="5"/>
  <c r="F1" i="5"/>
  <c r="F3" i="5"/>
  <c r="F4" i="5"/>
  <c r="H3" i="27" s="1"/>
  <c r="F2" i="5"/>
  <c r="B14" i="27"/>
  <c r="H13" i="27"/>
  <c r="H12" i="27"/>
  <c r="B12" i="27"/>
  <c r="G12" i="27"/>
  <c r="H9" i="20"/>
  <c r="G9" i="20"/>
  <c r="E9" i="20"/>
  <c r="D9" i="20"/>
  <c r="C9" i="20"/>
  <c r="H8" i="20"/>
  <c r="G8" i="20"/>
  <c r="E8" i="20"/>
  <c r="D8" i="20"/>
  <c r="C8" i="20"/>
  <c r="H9" i="19"/>
  <c r="H1" i="19" s="1"/>
  <c r="G9" i="19"/>
  <c r="G1" i="19" s="1"/>
  <c r="F9" i="19"/>
  <c r="E9" i="19"/>
  <c r="D9" i="19"/>
  <c r="D1" i="19" s="1"/>
  <c r="C9" i="19"/>
  <c r="H8" i="19"/>
  <c r="G8" i="19"/>
  <c r="G3" i="19" s="1"/>
  <c r="F8" i="19"/>
  <c r="E8" i="19"/>
  <c r="D8" i="19"/>
  <c r="D3" i="19" s="1"/>
  <c r="C8" i="19"/>
  <c r="H9" i="18"/>
  <c r="H1" i="18" s="1"/>
  <c r="G9" i="18"/>
  <c r="G1" i="18" s="1"/>
  <c r="F9" i="18"/>
  <c r="F1" i="18" s="1"/>
  <c r="E9" i="18"/>
  <c r="E1" i="18" s="1"/>
  <c r="D9" i="18"/>
  <c r="D1" i="18" s="1"/>
  <c r="C9" i="18"/>
  <c r="C1" i="18" s="1"/>
  <c r="H8" i="18"/>
  <c r="H3" i="18" s="1"/>
  <c r="G8" i="18"/>
  <c r="G3" i="18" s="1"/>
  <c r="F8" i="18"/>
  <c r="F3" i="18" s="1"/>
  <c r="E8" i="18"/>
  <c r="D8" i="18"/>
  <c r="D3" i="18" s="1"/>
  <c r="C8" i="18"/>
  <c r="C3" i="18" s="1"/>
  <c r="H9" i="16"/>
  <c r="G9" i="16"/>
  <c r="F9" i="16"/>
  <c r="E9" i="16"/>
  <c r="D9" i="16"/>
  <c r="C9" i="16"/>
  <c r="H8" i="16"/>
  <c r="G8" i="16"/>
  <c r="F8" i="16"/>
  <c r="E8" i="16"/>
  <c r="D8" i="16"/>
  <c r="C8" i="16"/>
  <c r="H7" i="16"/>
  <c r="G7" i="16"/>
  <c r="F7" i="16"/>
  <c r="E7" i="16"/>
  <c r="D7" i="16"/>
  <c r="C7" i="16"/>
  <c r="H6" i="16"/>
  <c r="G6" i="16"/>
  <c r="F6" i="16"/>
  <c r="E6" i="16"/>
  <c r="D6" i="16"/>
  <c r="C6" i="16"/>
  <c r="H5" i="16"/>
  <c r="G5" i="16"/>
  <c r="F5" i="16"/>
  <c r="E5" i="16"/>
  <c r="D5" i="16"/>
  <c r="C5" i="16"/>
  <c r="H9" i="11"/>
  <c r="G9" i="11"/>
  <c r="F9" i="11"/>
  <c r="E9" i="11"/>
  <c r="D9" i="11"/>
  <c r="H8" i="11"/>
  <c r="G8" i="11"/>
  <c r="F8" i="11"/>
  <c r="E8" i="11"/>
  <c r="D8" i="11"/>
  <c r="H7" i="11"/>
  <c r="G7" i="11"/>
  <c r="F7" i="11"/>
  <c r="E7" i="11"/>
  <c r="D7" i="11"/>
  <c r="H6" i="11"/>
  <c r="G6" i="11"/>
  <c r="F6" i="11"/>
  <c r="E6" i="11"/>
  <c r="D6" i="11"/>
  <c r="H5" i="11"/>
  <c r="G5" i="11"/>
  <c r="F5" i="11"/>
  <c r="E5" i="11"/>
  <c r="D5" i="11"/>
  <c r="C9" i="11"/>
  <c r="C8" i="11"/>
  <c r="C7" i="11"/>
  <c r="C6" i="11"/>
  <c r="C5" i="11"/>
  <c r="H5" i="9"/>
  <c r="G5" i="9"/>
  <c r="F5" i="9"/>
  <c r="E5" i="9"/>
  <c r="D5" i="9"/>
  <c r="C5" i="9"/>
  <c r="H9" i="9"/>
  <c r="H1" i="9" s="1"/>
  <c r="G9" i="9"/>
  <c r="G1" i="9" s="1"/>
  <c r="F9" i="9"/>
  <c r="F1" i="9" s="1"/>
  <c r="E9" i="9"/>
  <c r="E1" i="9" s="1"/>
  <c r="D9" i="9"/>
  <c r="D1" i="9" s="1"/>
  <c r="H8" i="9"/>
  <c r="H3" i="9" s="1"/>
  <c r="G8" i="9"/>
  <c r="G3" i="9" s="1"/>
  <c r="F8" i="9"/>
  <c r="F3" i="9" s="1"/>
  <c r="E8" i="9"/>
  <c r="E3" i="9" s="1"/>
  <c r="D8" i="9"/>
  <c r="D3" i="9" s="1"/>
  <c r="H7" i="9"/>
  <c r="G7" i="9"/>
  <c r="F7" i="9"/>
  <c r="E7" i="9"/>
  <c r="D7" i="9"/>
  <c r="H6" i="9"/>
  <c r="G6" i="9"/>
  <c r="F6" i="9"/>
  <c r="E6" i="9"/>
  <c r="D6" i="9"/>
  <c r="C9" i="9"/>
  <c r="C1" i="9" s="1"/>
  <c r="C8" i="9"/>
  <c r="C3" i="9" s="1"/>
  <c r="C7" i="9"/>
  <c r="C6" i="9"/>
  <c r="C5" i="8"/>
  <c r="H9" i="8"/>
  <c r="G9" i="8"/>
  <c r="F9" i="8"/>
  <c r="E9" i="8"/>
  <c r="D9" i="8"/>
  <c r="H8" i="8"/>
  <c r="G8" i="8"/>
  <c r="F8" i="8"/>
  <c r="E8" i="8"/>
  <c r="D8" i="8"/>
  <c r="H7" i="8"/>
  <c r="G7" i="8"/>
  <c r="F7" i="8"/>
  <c r="E7" i="8"/>
  <c r="D7" i="8"/>
  <c r="H6" i="8"/>
  <c r="G6" i="8"/>
  <c r="F6" i="8"/>
  <c r="E6" i="8"/>
  <c r="D6" i="8"/>
  <c r="H5" i="8"/>
  <c r="G5" i="8"/>
  <c r="F5" i="8"/>
  <c r="E5" i="8"/>
  <c r="D5" i="8"/>
  <c r="C9" i="8"/>
  <c r="C8" i="8"/>
  <c r="C7" i="8"/>
  <c r="C6" i="8"/>
  <c r="H9" i="1"/>
  <c r="G9" i="1"/>
  <c r="F9" i="1"/>
  <c r="E9" i="1"/>
  <c r="D9" i="1"/>
  <c r="H8" i="1"/>
  <c r="G8" i="1"/>
  <c r="F8" i="1"/>
  <c r="E8" i="1"/>
  <c r="D8" i="1"/>
  <c r="D3" i="1" s="1"/>
  <c r="C9" i="1"/>
  <c r="C8" i="1"/>
  <c r="C3" i="1" s="1"/>
  <c r="H7" i="1"/>
  <c r="G7" i="1"/>
  <c r="F7" i="1"/>
  <c r="E7" i="1"/>
  <c r="D7" i="1"/>
  <c r="D4" i="1" s="1"/>
  <c r="C7" i="1"/>
  <c r="C4" i="1" s="1"/>
  <c r="H6" i="1"/>
  <c r="G6" i="1"/>
  <c r="F6" i="1"/>
  <c r="E6" i="1"/>
  <c r="D6" i="1"/>
  <c r="D2" i="1" s="1"/>
  <c r="C6" i="1"/>
  <c r="C2" i="1" s="1"/>
  <c r="H5" i="1"/>
  <c r="G5" i="1"/>
  <c r="F5" i="1"/>
  <c r="E5" i="1"/>
  <c r="F3" i="16" l="1"/>
  <c r="F1" i="16"/>
  <c r="F4" i="16"/>
  <c r="F2" i="16"/>
  <c r="C2" i="16"/>
  <c r="C4" i="16"/>
  <c r="C3" i="16"/>
  <c r="C1" i="16"/>
  <c r="D3" i="16"/>
  <c r="D1" i="16"/>
  <c r="D4" i="16"/>
  <c r="D2" i="16"/>
  <c r="E4" i="16"/>
  <c r="E2" i="16"/>
  <c r="E3" i="16"/>
  <c r="E1" i="16"/>
  <c r="G3" i="16"/>
  <c r="G1" i="16"/>
  <c r="G2" i="16"/>
  <c r="G4" i="16"/>
  <c r="H7" i="27" s="1"/>
  <c r="H3" i="16"/>
  <c r="H2" i="16"/>
  <c r="H4" i="16"/>
  <c r="H1" i="16"/>
  <c r="E4" i="11"/>
  <c r="E3" i="11"/>
  <c r="E2" i="11"/>
  <c r="E1" i="11"/>
  <c r="G4" i="11"/>
  <c r="G2" i="11"/>
  <c r="G1" i="11"/>
  <c r="G3" i="11"/>
  <c r="C4" i="11"/>
  <c r="C1" i="11"/>
  <c r="C3" i="11"/>
  <c r="C2" i="11"/>
  <c r="D3" i="11"/>
  <c r="D4" i="11"/>
  <c r="D2" i="11"/>
  <c r="D1" i="11"/>
  <c r="F3" i="11"/>
  <c r="F4" i="11"/>
  <c r="F2" i="11"/>
  <c r="F1" i="11"/>
  <c r="H3" i="11"/>
  <c r="C6" i="27" s="1"/>
  <c r="H4" i="11"/>
  <c r="H1" i="11"/>
  <c r="H2" i="11"/>
  <c r="D2" i="8"/>
  <c r="D4" i="8"/>
  <c r="D1" i="8"/>
  <c r="D3" i="8"/>
  <c r="F1" i="8"/>
  <c r="F2" i="8"/>
  <c r="F4" i="8"/>
  <c r="F3" i="8"/>
  <c r="E2" i="8"/>
  <c r="E3" i="8"/>
  <c r="E4" i="8"/>
  <c r="E1" i="8"/>
  <c r="C2" i="8"/>
  <c r="C3" i="8"/>
  <c r="C4" i="8"/>
  <c r="C1" i="8"/>
  <c r="G4" i="8"/>
  <c r="G2" i="8"/>
  <c r="G1" i="8"/>
  <c r="G3" i="8"/>
  <c r="H2" i="8"/>
  <c r="H1" i="8"/>
  <c r="H3" i="8"/>
  <c r="H4" i="8"/>
  <c r="F2" i="1"/>
  <c r="F1" i="1"/>
  <c r="F4" i="1"/>
  <c r="F3" i="1"/>
  <c r="C1" i="1"/>
  <c r="E2" i="1"/>
  <c r="E1" i="1"/>
  <c r="E3" i="1"/>
  <c r="E4" i="1"/>
  <c r="G3" i="1"/>
  <c r="G2" i="1"/>
  <c r="G4" i="1"/>
  <c r="G1" i="1"/>
  <c r="H4" i="1"/>
  <c r="H2" i="1"/>
  <c r="H3" i="1"/>
  <c r="H1" i="1"/>
  <c r="D1" i="1"/>
  <c r="G13" i="27"/>
  <c r="G14" i="27"/>
  <c r="B13" i="27"/>
  <c r="C13" i="27"/>
  <c r="C12" i="27"/>
  <c r="B11" i="27"/>
  <c r="G11" i="27"/>
  <c r="H11" i="27"/>
  <c r="H20" i="27" s="1"/>
  <c r="H5" i="27"/>
  <c r="B4" i="27"/>
  <c r="C3" i="27"/>
  <c r="G4" i="27"/>
  <c r="B10" i="27"/>
  <c r="H10" i="27"/>
  <c r="C8" i="27"/>
  <c r="B8" i="27"/>
  <c r="B2" i="27"/>
  <c r="B17" i="27" s="1"/>
  <c r="C20" i="27" l="1"/>
  <c r="C5" i="27"/>
  <c r="G9" i="27"/>
  <c r="C9" i="27"/>
  <c r="B9" i="27"/>
  <c r="C10" i="27"/>
  <c r="G20" i="27"/>
  <c r="B20" i="27"/>
  <c r="G10" i="27"/>
  <c r="H9" i="27"/>
  <c r="H8" i="27"/>
  <c r="H19" i="27" s="1"/>
  <c r="G8" i="27"/>
  <c r="B7" i="27"/>
  <c r="B19" i="27" s="1"/>
  <c r="C7" i="27"/>
  <c r="G7" i="27"/>
  <c r="H6" i="27"/>
  <c r="G6" i="27"/>
  <c r="B6" i="27"/>
  <c r="B5" i="27"/>
  <c r="G5" i="27"/>
  <c r="H4" i="27"/>
  <c r="C4" i="27"/>
  <c r="C18" i="27" s="1"/>
  <c r="H2" i="27"/>
  <c r="H17" i="27" s="1"/>
  <c r="G2" i="27"/>
  <c r="G17" i="27" s="1"/>
  <c r="C2" i="27"/>
  <c r="C17" i="27" s="1"/>
  <c r="C19" i="27" l="1"/>
  <c r="C22" i="27" s="1"/>
  <c r="B18" i="27"/>
  <c r="B22" i="27" s="1"/>
  <c r="G19" i="27"/>
  <c r="G18" i="27"/>
  <c r="H18" i="27"/>
  <c r="H22" i="27"/>
  <c r="K22" i="27" l="1"/>
  <c r="L22" i="27"/>
  <c r="G22" i="27"/>
</calcChain>
</file>

<file path=xl/sharedStrings.xml><?xml version="1.0" encoding="utf-8"?>
<sst xmlns="http://schemas.openxmlformats.org/spreadsheetml/2006/main" count="393" uniqueCount="129">
  <si>
    <t>Bank </t>
  </si>
  <si>
    <t>Customer </t>
  </si>
  <si>
    <t>Pools </t>
  </si>
  <si>
    <t>Chatbot run 1</t>
  </si>
  <si>
    <t>Chatbot run 2</t>
  </si>
  <si>
    <t>Chatbot run 3</t>
  </si>
  <si>
    <t>XML  run 1</t>
  </si>
  <si>
    <t>XML run 2</t>
  </si>
  <si>
    <t>XML run 3</t>
  </si>
  <si>
    <t>False Positives</t>
  </si>
  <si>
    <t> Account Opening Department Lane</t>
  </si>
  <si>
    <t>Customer Service Lane</t>
  </si>
  <si>
    <t>Operations Lane</t>
  </si>
  <si>
    <t>Bank Back Office</t>
  </si>
  <si>
    <t>Account Services Lane</t>
  </si>
  <si>
    <t>Application Processing Lane</t>
  </si>
  <si>
    <t>Management</t>
  </si>
  <si>
    <t>Accountant</t>
  </si>
  <si>
    <t>Management Pool</t>
  </si>
  <si>
    <t>Accountant Pool</t>
  </si>
  <si>
    <t>Company Pool</t>
  </si>
  <si>
    <t>Pool Retailer</t>
  </si>
  <si>
    <t>Lane Order and Inventory Management</t>
  </si>
  <si>
    <t>Wholesaler Pool</t>
  </si>
  <si>
    <t>Logistics Lane</t>
  </si>
  <si>
    <t>Storage Management Lane</t>
  </si>
  <si>
    <t>Warehouse Lane</t>
  </si>
  <si>
    <t>Stock Management Lane</t>
  </si>
  <si>
    <t>Packing Logistics Lane</t>
  </si>
  <si>
    <t>Shipping Lane</t>
  </si>
  <si>
    <t>Finance Lane</t>
  </si>
  <si>
    <t>Courier Pool</t>
  </si>
  <si>
    <t>Courier Operations Lane</t>
  </si>
  <si>
    <t>Tribunal</t>
  </si>
  <si>
    <t>Owner</t>
  </si>
  <si>
    <t>Police App</t>
  </si>
  <si>
    <t>Car Owner</t>
  </si>
  <si>
    <t>Car Service Facility</t>
  </si>
  <si>
    <t>Lanes</t>
  </si>
  <si>
    <t>Mechanic</t>
  </si>
  <si>
    <t>Fines Department Lane</t>
  </si>
  <si>
    <t>Beneficiary</t>
  </si>
  <si>
    <t>Insurance Agent</t>
  </si>
  <si>
    <t>Insurance Company</t>
  </si>
  <si>
    <t>Clerk</t>
  </si>
  <si>
    <t>Regulator</t>
  </si>
  <si>
    <t>Semantic TP Explicit</t>
  </si>
  <si>
    <t>Semantic TP Implicit</t>
  </si>
  <si>
    <t>Semantic FN</t>
  </si>
  <si>
    <t>Semantic FP Strict</t>
  </si>
  <si>
    <t>Semantic FP Loose</t>
  </si>
  <si>
    <t>Car Insurer</t>
  </si>
  <si>
    <t>Customer</t>
  </si>
  <si>
    <t>Notification Department</t>
  </si>
  <si>
    <t>Handling Department</t>
  </si>
  <si>
    <t>Customer Pool</t>
  </si>
  <si>
    <t>Risk Managmnet Lane</t>
  </si>
  <si>
    <t>Distribumnet Lane</t>
  </si>
  <si>
    <t>Credit Department Lane</t>
  </si>
  <si>
    <t>Bank Pool</t>
  </si>
  <si>
    <t>Processing Department Lane</t>
  </si>
  <si>
    <t>Applicant Pool/Lane</t>
  </si>
  <si>
    <t>User lane</t>
  </si>
  <si>
    <t>Twitter lane</t>
  </si>
  <si>
    <t>Sports Institute Pool</t>
  </si>
  <si>
    <t>Registration System Lane</t>
  </si>
  <si>
    <t xml:space="preserve">Administration Lane in Sport Institute </t>
  </si>
  <si>
    <t>Course Management lane</t>
  </si>
  <si>
    <t>Semantic  Recall</t>
  </si>
  <si>
    <t>Semantic Percision</t>
  </si>
  <si>
    <t>You</t>
  </si>
  <si>
    <t>Central Fridge Service Center</t>
  </si>
  <si>
    <t>Service Facility</t>
  </si>
  <si>
    <t>Company</t>
  </si>
  <si>
    <t>Lane</t>
  </si>
  <si>
    <t>Secretary</t>
  </si>
  <si>
    <t>Logistics Department Head</t>
  </si>
  <si>
    <t>Warehouseman</t>
  </si>
  <si>
    <t>Logistics Company Pool</t>
  </si>
  <si>
    <t>Student</t>
  </si>
  <si>
    <t>University</t>
  </si>
  <si>
    <t>Officer</t>
  </si>
  <si>
    <t>Committee Chair</t>
  </si>
  <si>
    <t>Committee Members</t>
  </si>
  <si>
    <t>Pools / Lanes</t>
  </si>
  <si>
    <t>Academic Committee (Pool or lane)</t>
  </si>
  <si>
    <t>Employer</t>
  </si>
  <si>
    <t>Employee</t>
  </si>
  <si>
    <t>Accident Insurance Provider</t>
  </si>
  <si>
    <t xml:space="preserve">Labour Inspectorate </t>
  </si>
  <si>
    <t>HR/Management</t>
  </si>
  <si>
    <t>Safety Officer</t>
  </si>
  <si>
    <t>Insurance Clerk</t>
  </si>
  <si>
    <t>Directorate</t>
  </si>
  <si>
    <t>Self-Employed/Private Insured</t>
  </si>
  <si>
    <t>Applicant</t>
  </si>
  <si>
    <t>Austrian Representation Office</t>
  </si>
  <si>
    <t>Emergency Services</t>
  </si>
  <si>
    <t>Private Insurance</t>
  </si>
  <si>
    <t>School</t>
  </si>
  <si>
    <t>Consular Officer</t>
  </si>
  <si>
    <t>Visa Section Lane</t>
  </si>
  <si>
    <t>Accommodation &amp; Bank Lane</t>
  </si>
  <si>
    <t>Visa Application Lane</t>
  </si>
  <si>
    <t>Personal Preparation Lane</t>
  </si>
  <si>
    <t>TELECO</t>
  </si>
  <si>
    <t>Customer Service</t>
  </si>
  <si>
    <t>electronic service</t>
  </si>
  <si>
    <t>Service Management</t>
  </si>
  <si>
    <t>Resource Provisioning</t>
  </si>
  <si>
    <t>Billing &amp; Collections</t>
  </si>
  <si>
    <t xml:space="preserve">Company </t>
  </si>
  <si>
    <t xml:space="preserve">Customer Service </t>
  </si>
  <si>
    <t>customer
information system</t>
  </si>
  <si>
    <t>Grid Operator</t>
  </si>
  <si>
    <t>Old Supplier</t>
  </si>
  <si>
    <t>Sales</t>
  </si>
  <si>
    <t>Distribution</t>
  </si>
  <si>
    <t>Billing</t>
  </si>
  <si>
    <t>BPMNChatbot++</t>
  </si>
  <si>
    <t>XML Baseline</t>
  </si>
  <si>
    <t>cluster 1</t>
  </si>
  <si>
    <t>cluster 2</t>
  </si>
  <si>
    <t>cluster 3</t>
  </si>
  <si>
    <t>cluster 4</t>
  </si>
  <si>
    <t>Avg</t>
  </si>
  <si>
    <t>Percision</t>
  </si>
  <si>
    <t>Recall</t>
  </si>
  <si>
    <t>F1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</si>
</sst>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2"/>
      <color rgb="FFFF0000"/>
      <name val="Arial"/>
      <family val="2"/>
    </font>
    <font>
      <sz val="12"/>
      <color rgb="FFFFC000"/>
      <name val="Arial"/>
      <family val="2"/>
    </font>
    <font>
      <sz val="8"/>
      <color theme="1"/>
      <name val="Arial"/>
      <family val="2"/>
    </font>
    <font>
      <sz val="10"/>
      <color rgb="FF000000"/>
      <name val="Arial"/>
      <family val="2"/>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0" fillId="0" borderId="0" xfId="0" applyAlignment="1">
      <alignment wrapText="1"/>
    </xf>
    <xf numFmtId="0" fontId="0" fillId="2" borderId="0" xfId="0" applyFill="1"/>
    <xf numFmtId="0" fontId="0" fillId="2" borderId="0" xfId="0" applyFill="1" applyAlignment="1">
      <alignment wrapText="1"/>
    </xf>
    <xf numFmtId="0" fontId="1" fillId="0" borderId="0" xfId="0" applyFont="1" applyAlignment="1">
      <alignment wrapText="1"/>
    </xf>
    <xf numFmtId="0" fontId="4" fillId="0" borderId="0" xfId="0" applyFont="1" applyAlignment="1">
      <alignment vertical="center"/>
    </xf>
    <xf numFmtId="0" fontId="5"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oneCellAnchor>
    <xdr:from>
      <xdr:col>9</xdr:col>
      <xdr:colOff>0</xdr:colOff>
      <xdr:row>17</xdr:row>
      <xdr:rowOff>0</xdr:rowOff>
    </xdr:from>
    <xdr:ext cx="3932379" cy="1814599"/>
    <xdr:sp macro="" textlink="">
      <xdr:nvSpPr>
        <xdr:cNvPr id="2" name="TextBox 1">
          <a:extLst>
            <a:ext uri="{FF2B5EF4-FFF2-40B4-BE49-F238E27FC236}">
              <a16:creationId xmlns:a16="http://schemas.microsoft.com/office/drawing/2014/main" id="{07B02151-E5EC-48BA-83E7-1D2B0CEDD6C3}"/>
            </a:ext>
          </a:extLst>
        </xdr:cNvPr>
        <xdr:cNvSpPr txBox="1"/>
      </xdr:nvSpPr>
      <xdr:spPr>
        <a:xfrm>
          <a:off x="12506325" y="3219450"/>
          <a:ext cx="3932379" cy="1814599"/>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rtl="0" fontAlgn="base"/>
          <a:r>
            <a:rPr lang="en-US" sz="1100" b="1" i="0">
              <a:solidFill>
                <a:schemeClr val="tx1"/>
              </a:solidFill>
              <a:effectLst/>
              <a:latin typeface="+mn-lt"/>
              <a:ea typeface="+mn-ea"/>
              <a:cs typeface="+mn-cs"/>
            </a:rPr>
            <a:t>Textual Description:  </a:t>
          </a:r>
        </a:p>
        <a:p>
          <a:pPr rtl="0" fontAlgn="base"/>
          <a:endParaRPr lang="en-US" sz="1100" b="0" i="0">
            <a:solidFill>
              <a:schemeClr val="tx1"/>
            </a:solidFill>
            <a:effectLst/>
            <a:latin typeface="+mn-lt"/>
            <a:ea typeface="+mn-ea"/>
            <a:cs typeface="+mn-cs"/>
          </a:endParaRPr>
        </a:p>
        <a:p>
          <a:pPr rtl="0" fontAlgn="base"/>
          <a:r>
            <a:rPr lang="en-US" sz="1100" b="0" i="0">
              <a:solidFill>
                <a:schemeClr val="tx1"/>
              </a:solidFill>
              <a:effectLst/>
              <a:latin typeface="+mn-lt"/>
              <a:ea typeface="+mn-ea"/>
              <a:cs typeface="+mn-cs"/>
            </a:rPr>
            <a:t>When the bank receives a new online application for opening a bank account, the application is evaluated. If the application is rejected, the customer is notified by email, and the process ends. If the application is approved, a new bank account is created. Before the process ends, the bank sends a welcome pack, a bank card, and a PIN number in separate letters to the customer. </a:t>
          </a:r>
        </a:p>
        <a:p>
          <a:pPr rtl="0" fontAlgn="base"/>
          <a:r>
            <a:rPr lang="en-US" sz="1100" b="0" i="0">
              <a:solidFill>
                <a:schemeClr val="tx1"/>
              </a:solidFill>
              <a:effectLst/>
              <a:latin typeface="+mn-lt"/>
              <a:ea typeface="+mn-ea"/>
              <a:cs typeface="+mn-cs"/>
            </a:rPr>
            <a:t> </a:t>
          </a:r>
        </a:p>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9</xdr:col>
      <xdr:colOff>0</xdr:colOff>
      <xdr:row>18</xdr:row>
      <xdr:rowOff>31750</xdr:rowOff>
    </xdr:from>
    <xdr:ext cx="3932379" cy="1642373"/>
    <xdr:sp macro="" textlink="">
      <xdr:nvSpPr>
        <xdr:cNvPr id="2" name="TextBox 1">
          <a:extLst>
            <a:ext uri="{FF2B5EF4-FFF2-40B4-BE49-F238E27FC236}">
              <a16:creationId xmlns:a16="http://schemas.microsoft.com/office/drawing/2014/main" id="{39AA02BD-CB02-4BD6-9110-F37B7111D824}"/>
            </a:ext>
          </a:extLst>
        </xdr:cNvPr>
        <xdr:cNvSpPr txBox="1"/>
      </xdr:nvSpPr>
      <xdr:spPr>
        <a:xfrm>
          <a:off x="11388725" y="3911600"/>
          <a:ext cx="3932379" cy="1642373"/>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rtl="0" fontAlgn="base"/>
          <a:r>
            <a:rPr lang="en-US" sz="1100" b="1" i="0">
              <a:solidFill>
                <a:schemeClr val="tx1"/>
              </a:solidFill>
              <a:effectLst/>
              <a:latin typeface="+mn-lt"/>
              <a:ea typeface="+mn-ea"/>
              <a:cs typeface="+mn-cs"/>
            </a:rPr>
            <a:t>Textual Description:  </a:t>
          </a:r>
        </a:p>
        <a:p>
          <a:pPr rtl="0" fontAlgn="base"/>
          <a:endParaRPr lang="en-US" sz="1100" b="0" i="0">
            <a:solidFill>
              <a:schemeClr val="tx1"/>
            </a:solidFill>
            <a:effectLst/>
            <a:latin typeface="+mn-lt"/>
            <a:ea typeface="+mn-ea"/>
            <a:cs typeface="+mn-cs"/>
          </a:endParaRPr>
        </a:p>
        <a:p>
          <a:r>
            <a:rPr lang="en-US" sz="1100">
              <a:solidFill>
                <a:schemeClr val="tx1"/>
              </a:solidFill>
              <a:effectLst/>
              <a:latin typeface="+mn-lt"/>
              <a:ea typeface="+mn-ea"/>
              <a:cs typeface="+mn-cs"/>
            </a:rPr>
            <a:t>Management orders a cash-out report which of the year and month is given by management, that an accountant filters out cash transactions from the cash database. If the query is not empty, the accountant prints a cash-out report, gives it to management; otherwise, there is no cash-out.</a:t>
          </a:r>
        </a:p>
        <a:p>
          <a:pPr rtl="0" fontAlgn="base"/>
          <a:r>
            <a:rPr lang="en-US" sz="1100" b="0" i="0">
              <a:solidFill>
                <a:schemeClr val="tx1"/>
              </a:solidFill>
              <a:effectLst/>
              <a:latin typeface="+mn-lt"/>
              <a:ea typeface="+mn-ea"/>
              <a:cs typeface="+mn-cs"/>
            </a:rPr>
            <a:t> </a:t>
          </a:r>
        </a:p>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9</xdr:col>
      <xdr:colOff>0</xdr:colOff>
      <xdr:row>16</xdr:row>
      <xdr:rowOff>0</xdr:rowOff>
    </xdr:from>
    <xdr:ext cx="3932379" cy="1297919"/>
    <xdr:sp macro="" textlink="">
      <xdr:nvSpPr>
        <xdr:cNvPr id="2" name="TextBox 1">
          <a:extLst>
            <a:ext uri="{FF2B5EF4-FFF2-40B4-BE49-F238E27FC236}">
              <a16:creationId xmlns:a16="http://schemas.microsoft.com/office/drawing/2014/main" id="{225A410C-D263-4158-A24E-5C03E0FA23D3}"/>
            </a:ext>
          </a:extLst>
        </xdr:cNvPr>
        <xdr:cNvSpPr txBox="1"/>
      </xdr:nvSpPr>
      <xdr:spPr>
        <a:xfrm>
          <a:off x="13462727" y="3476510"/>
          <a:ext cx="3932379" cy="1297919"/>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AT" sz="1100" b="1">
              <a:solidFill>
                <a:schemeClr val="tx1"/>
              </a:solidFill>
              <a:effectLst/>
              <a:latin typeface="+mn-lt"/>
              <a:ea typeface="+mn-ea"/>
              <a:cs typeface="+mn-cs"/>
            </a:rPr>
            <a:t>Textual Description:</a:t>
          </a:r>
          <a:endParaRPr lang="en-US" sz="1100">
            <a:solidFill>
              <a:schemeClr val="tx1"/>
            </a:solidFill>
            <a:effectLst/>
            <a:latin typeface="+mn-lt"/>
            <a:ea typeface="+mn-ea"/>
            <a:cs typeface="+mn-cs"/>
          </a:endParaRPr>
        </a:p>
        <a:p>
          <a:r>
            <a:rPr lang="en-US" sz="1100" b="0" i="0">
              <a:solidFill>
                <a:schemeClr val="tx1"/>
              </a:solidFill>
              <a:effectLst/>
              <a:latin typeface="+mn-lt"/>
              <a:ea typeface="+mn-ea"/>
              <a:cs typeface="+mn-cs"/>
            </a:rPr>
            <a:t>When a new credit request is received, the risk is assessed. If the risk is above a threshold, an advanced risk assessment needs to be carried out, otherwise a simple risk assessment will suffice. Once the assessment has been completed, the customer is</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notified with the result of the assessment, and in the meantime the disbursement isorganized.</a:t>
          </a:r>
          <a:endParaRPr lang="en-US" sz="1100">
            <a:solidFill>
              <a:schemeClr val="tx1"/>
            </a:solidFill>
            <a:effectLst/>
            <a:latin typeface="+mn-lt"/>
            <a:ea typeface="+mn-ea"/>
            <a:cs typeface="+mn-cs"/>
          </a:endParaRP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9</xdr:col>
      <xdr:colOff>0</xdr:colOff>
      <xdr:row>17</xdr:row>
      <xdr:rowOff>171450</xdr:rowOff>
    </xdr:from>
    <xdr:ext cx="3932379" cy="2675732"/>
    <xdr:sp macro="" textlink="">
      <xdr:nvSpPr>
        <xdr:cNvPr id="2" name="TextBox 1">
          <a:extLst>
            <a:ext uri="{FF2B5EF4-FFF2-40B4-BE49-F238E27FC236}">
              <a16:creationId xmlns:a16="http://schemas.microsoft.com/office/drawing/2014/main" id="{5FE42826-CFBA-4E7F-9CD4-E2A843979699}"/>
            </a:ext>
          </a:extLst>
        </xdr:cNvPr>
        <xdr:cNvSpPr txBox="1"/>
      </xdr:nvSpPr>
      <xdr:spPr>
        <a:xfrm>
          <a:off x="12506325" y="2657475"/>
          <a:ext cx="3932379" cy="2675732"/>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AT" sz="1100" b="1">
              <a:solidFill>
                <a:schemeClr val="tx1"/>
              </a:solidFill>
              <a:effectLst/>
              <a:latin typeface="+mn-lt"/>
              <a:ea typeface="+mn-ea"/>
              <a:cs typeface="+mn-cs"/>
            </a:rPr>
            <a:t>Textual Description:</a:t>
          </a:r>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First, the order is read from the automatic order management system. Then, it's checked if the first product from the order is in stock. If it's in stock then it's withdrawn from the warehouse. However, if it's not in stock then it's reordered from the wholesaler. Note, that if it was necessary to wait more then 10 days for the arrival of the  product then a delivery delay penalty is automatically demanded from the wholesaler. After the ordered product has arrived it's registered in the stock management system. Finally, it's checked if the whole order is ready for shipment. If the order is ready for shipment, a courier is requested and the products are packed simultaneously and finally shipped. If it isn't then the next product from the order is selected and the process starts again with checking if this order is in stock or not.</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9</xdr:col>
      <xdr:colOff>0</xdr:colOff>
      <xdr:row>18</xdr:row>
      <xdr:rowOff>0</xdr:rowOff>
    </xdr:from>
    <xdr:ext cx="3932379" cy="3020186"/>
    <xdr:sp macro="" textlink="">
      <xdr:nvSpPr>
        <xdr:cNvPr id="2" name="TextBox 1">
          <a:extLst>
            <a:ext uri="{FF2B5EF4-FFF2-40B4-BE49-F238E27FC236}">
              <a16:creationId xmlns:a16="http://schemas.microsoft.com/office/drawing/2014/main" id="{AD5082F0-0FB5-4EB6-8E8F-88F714F45E27}"/>
            </a:ext>
          </a:extLst>
        </xdr:cNvPr>
        <xdr:cNvSpPr txBox="1"/>
      </xdr:nvSpPr>
      <xdr:spPr>
        <a:xfrm>
          <a:off x="12944475" y="5133975"/>
          <a:ext cx="3932379" cy="3020186"/>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AT" sz="1100" b="1">
              <a:solidFill>
                <a:schemeClr val="tx1"/>
              </a:solidFill>
              <a:effectLst/>
              <a:latin typeface="+mn-lt"/>
              <a:ea typeface="+mn-ea"/>
              <a:cs typeface="+mn-cs"/>
            </a:rPr>
            <a:t>Textual Description:</a:t>
          </a:r>
        </a:p>
        <a:p>
          <a:r>
            <a:rPr lang="de-AT" sz="1100" b="0">
              <a:solidFill>
                <a:schemeClr val="tx1"/>
              </a:solidFill>
              <a:effectLst/>
              <a:latin typeface="+mn-lt"/>
              <a:ea typeface="+mn-ea"/>
              <a:cs typeface="+mn-cs"/>
            </a:rPr>
            <a:t>If a tenant is evicted because of damages to the premises, a process needs to be started by the tribunal in order to hold a hearing to assess the amount of compensation the tenant owes to the owner of the premises. </a:t>
          </a:r>
        </a:p>
        <a:p>
          <a:r>
            <a:rPr lang="de-AT" sz="1100" b="0">
              <a:solidFill>
                <a:schemeClr val="tx1"/>
              </a:solidFill>
              <a:effectLst/>
              <a:latin typeface="+mn-lt"/>
              <a:ea typeface="+mn-ea"/>
              <a:cs typeface="+mn-cs"/>
            </a:rPr>
            <a:t>This process starts when a cashier of the tribunal receives a request for compensation from the owner.</a:t>
          </a:r>
        </a:p>
        <a:p>
          <a:r>
            <a:rPr lang="de-AT" sz="1100" b="0">
              <a:solidFill>
                <a:schemeClr val="tx1"/>
              </a:solidFill>
              <a:effectLst/>
              <a:latin typeface="+mn-lt"/>
              <a:ea typeface="+mn-ea"/>
              <a:cs typeface="+mn-cs"/>
            </a:rPr>
            <a:t>The cashier then retrieves the file for those particular premises and checks that the request is both acceptable for filing and compliant with the description of the premises on file. After these checks, the cashier needs to set a hearing date. </a:t>
          </a:r>
        </a:p>
        <a:p>
          <a:r>
            <a:rPr lang="de-AT" sz="1100" b="0">
              <a:solidFill>
                <a:schemeClr val="tx1"/>
              </a:solidFill>
              <a:effectLst/>
              <a:latin typeface="+mn-lt"/>
              <a:ea typeface="+mn-ea"/>
              <a:cs typeface="+mn-cs"/>
            </a:rPr>
            <a:t>Setting a hearing date incurs fees to the owner. It may be that the owner has already paid the fees with the request, in which case the cashier allocates a hearing date and the process completes. If the owner has not paid the required fees, the cashier produces a fees notice and waits for the owner to pay the fees before reassessing the document compliance.</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9</xdr:col>
      <xdr:colOff>0</xdr:colOff>
      <xdr:row>27</xdr:row>
      <xdr:rowOff>171450</xdr:rowOff>
    </xdr:from>
    <xdr:ext cx="3932379" cy="3235501"/>
    <xdr:sp macro="" textlink="">
      <xdr:nvSpPr>
        <xdr:cNvPr id="3" name="TextBox 2">
          <a:extLst>
            <a:ext uri="{FF2B5EF4-FFF2-40B4-BE49-F238E27FC236}">
              <a16:creationId xmlns:a16="http://schemas.microsoft.com/office/drawing/2014/main" id="{DBCC5801-4344-44EB-B513-32312C818FBA}"/>
            </a:ext>
          </a:extLst>
        </xdr:cNvPr>
        <xdr:cNvSpPr txBox="1"/>
      </xdr:nvSpPr>
      <xdr:spPr>
        <a:xfrm>
          <a:off x="13719175" y="4959350"/>
          <a:ext cx="3932379" cy="3235501"/>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AT" sz="1100" b="1">
              <a:solidFill>
                <a:schemeClr val="tx1"/>
              </a:solidFill>
              <a:effectLst/>
              <a:latin typeface="+mn-lt"/>
              <a:ea typeface="+mn-ea"/>
              <a:cs typeface="+mn-cs"/>
            </a:rPr>
            <a:t>Textual Description:</a:t>
          </a:r>
          <a:endParaRPr lang="en-US" sz="1100">
            <a:solidFill>
              <a:schemeClr val="tx1"/>
            </a:solidFill>
            <a:effectLst/>
            <a:latin typeface="+mn-lt"/>
            <a:ea typeface="+mn-ea"/>
            <a:cs typeface="+mn-cs"/>
          </a:endParaRPr>
        </a:p>
        <a:p>
          <a:r>
            <a:rPr lang="en-US" sz="1100" b="0" i="0">
              <a:solidFill>
                <a:schemeClr val="tx1"/>
              </a:solidFill>
              <a:effectLst/>
              <a:latin typeface="+mn-lt"/>
              <a:ea typeface="+mn-ea"/>
              <a:cs typeface="+mn-cs"/>
            </a:rPr>
            <a:t>If you want to register for a course at the sports institute, you need to select a course. If</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slots are free, the system tells you the courses, and dates. Select one. Next, you need to</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check if you already have an account at the sports institute. If not, you need to check</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whether you are registered at an eligible university. If you are, register your account. If</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you are not, request an activation and wait for a response. As soon as you have an</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account, log into it. The application is also connected to your twitter account, and lets</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you tweet to friends who might want to join you, you can complete the registration for</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the course and provide the payment information. In the end, you will receive a course</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ticket</a:t>
          </a:r>
          <a:endParaRPr lang="en-US" sz="1100">
            <a:solidFill>
              <a:schemeClr val="tx1"/>
            </a:solidFill>
            <a:effectLst/>
            <a:latin typeface="+mn-lt"/>
            <a:ea typeface="+mn-ea"/>
            <a:cs typeface="+mn-cs"/>
          </a:endParaRP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9</xdr:col>
      <xdr:colOff>0</xdr:colOff>
      <xdr:row>17</xdr:row>
      <xdr:rowOff>171450</xdr:rowOff>
    </xdr:from>
    <xdr:ext cx="3932379" cy="2331279"/>
    <xdr:sp macro="" textlink="">
      <xdr:nvSpPr>
        <xdr:cNvPr id="2" name="TextBox 1">
          <a:extLst>
            <a:ext uri="{FF2B5EF4-FFF2-40B4-BE49-F238E27FC236}">
              <a16:creationId xmlns:a16="http://schemas.microsoft.com/office/drawing/2014/main" id="{11E871B9-870D-4E02-90E3-014E04D50D46}"/>
            </a:ext>
          </a:extLst>
        </xdr:cNvPr>
        <xdr:cNvSpPr txBox="1"/>
      </xdr:nvSpPr>
      <xdr:spPr>
        <a:xfrm>
          <a:off x="12944475" y="3600450"/>
          <a:ext cx="3932379" cy="2331279"/>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AT" sz="1100" b="1">
              <a:solidFill>
                <a:schemeClr val="tx1"/>
              </a:solidFill>
              <a:effectLst/>
              <a:latin typeface="+mn-lt"/>
              <a:ea typeface="+mn-ea"/>
              <a:cs typeface="+mn-cs"/>
            </a:rPr>
            <a:t>Textual Description:</a:t>
          </a:r>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The police has a new app to remind you of your car service. The process is started after a successful service. When a service is necessary, the system checks if your car is still registered. If it is registered, you are notified. If you do not go to the service, you are fined after 30 days. At the car service facility the mechanic enters the problems of your car for reference. While you wait (can take several days), you get status updates via email).You can pay through the app, when the repair is done. The mechanic enters that the repair was successful and you got your "Pickerl". The mechanic enters the time for you next service.</a:t>
          </a:r>
          <a:r>
            <a:rPr lang="de-AT" sz="1100">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de-AT" sz="1100">
              <a:solidFill>
                <a:schemeClr val="tx1"/>
              </a:solidFill>
              <a:effectLst/>
              <a:latin typeface="+mn-lt"/>
              <a:ea typeface="+mn-ea"/>
              <a:cs typeface="+mn-cs"/>
            </a:rPr>
            <a:t> </a:t>
          </a:r>
          <a:r>
            <a:rPr lang="en-US" sz="1100">
              <a:solidFill>
                <a:schemeClr val="tx1"/>
              </a:solidFill>
              <a:effectLst/>
              <a:latin typeface="+mn-lt"/>
              <a:ea typeface="+mn-ea"/>
              <a:cs typeface="+mn-cs"/>
            </a:rPr>
            <a:t>I am missing Data Objects/Messages: Reminder, Problems, Status Updates, Pickerl — or a App DB and Status Updates per Mail</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9</xdr:col>
      <xdr:colOff>0</xdr:colOff>
      <xdr:row>21</xdr:row>
      <xdr:rowOff>171450</xdr:rowOff>
    </xdr:from>
    <xdr:ext cx="3932379" cy="5775812"/>
    <xdr:sp macro="" textlink="">
      <xdr:nvSpPr>
        <xdr:cNvPr id="2" name="TextBox 1">
          <a:extLst>
            <a:ext uri="{FF2B5EF4-FFF2-40B4-BE49-F238E27FC236}">
              <a16:creationId xmlns:a16="http://schemas.microsoft.com/office/drawing/2014/main" id="{D3F3EDC7-85B9-4067-93A3-12AB29745545}"/>
            </a:ext>
          </a:extLst>
        </xdr:cNvPr>
        <xdr:cNvSpPr txBox="1"/>
      </xdr:nvSpPr>
      <xdr:spPr>
        <a:xfrm>
          <a:off x="12944475" y="6076950"/>
          <a:ext cx="3932379" cy="5775812"/>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AT" sz="1100" b="1">
              <a:solidFill>
                <a:schemeClr val="tx1"/>
              </a:solidFill>
              <a:effectLst/>
              <a:latin typeface="+mn-lt"/>
              <a:ea typeface="+mn-ea"/>
              <a:cs typeface="+mn-cs"/>
            </a:rPr>
            <a:t>Textual Description:</a:t>
          </a:r>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After an accident has occurred, the beneficiary calls an insurance agent who in turn contacts the insurance company. It can take up to three days until the notification of claim is entered and a qualified clerk is assigned the case. </a:t>
          </a:r>
        </a:p>
        <a:p>
          <a:r>
            <a:rPr lang="en-US" sz="1100">
              <a:solidFill>
                <a:schemeClr val="tx1"/>
              </a:solidFill>
              <a:effectLst/>
              <a:latin typeface="+mn-lt"/>
              <a:ea typeface="+mn-ea"/>
              <a:cs typeface="+mn-cs"/>
            </a:rPr>
            <a:t>The clerk checks whether the beneficiary’s policy was valid at the time of the accident. If not, the process terminates here. The next steps basically try to answer two questions: Whose insurance is ob-liged to pay and how much is it going to cost? </a:t>
          </a:r>
        </a:p>
        <a:p>
          <a:r>
            <a:rPr lang="en-US" sz="1100">
              <a:solidFill>
                <a:schemeClr val="tx1"/>
              </a:solidFill>
              <a:effectLst/>
              <a:latin typeface="+mn-lt"/>
              <a:ea typeface="+mn-ea"/>
              <a:cs typeface="+mn-cs"/>
            </a:rPr>
            <a:t>For estimating the cost, the regulator talks to the doctors and injured parties about the injuries caused by the accident and how they need to be treated. Then, she comes up with a quote for the car repairs. This requires a lot of phone calls. For answering the question about who is to blame for the accident, the regulator calls the beneficiary, other injured persons, witnesses and the police. Furthermore, she is likely to drop by the people involved and the place of accident. </a:t>
          </a:r>
        </a:p>
        <a:p>
          <a:r>
            <a:rPr lang="en-US" sz="1100">
              <a:solidFill>
                <a:schemeClr val="tx1"/>
              </a:solidFill>
              <a:effectLst/>
              <a:latin typeface="+mn-lt"/>
              <a:ea typeface="+mn-ea"/>
              <a:cs typeface="+mn-cs"/>
            </a:rPr>
            <a:t>Estimating the costs for repairs and doctors is influenced by many variables: Which repair is really needed? Is it required to order original spare parts from the manufacturer or can parts produced by other companies also be used? Which medical treatment is sufficient? </a:t>
          </a:r>
        </a:p>
        <a:p>
          <a:r>
            <a:rPr lang="en-US" sz="1100">
              <a:solidFill>
                <a:schemeClr val="tx1"/>
              </a:solidFill>
              <a:effectLst/>
              <a:latin typeface="+mn-lt"/>
              <a:ea typeface="+mn-ea"/>
              <a:cs typeface="+mn-cs"/>
            </a:rPr>
            <a:t>None of these questions is easy to answer. Typically, it takes 35 days until the clerk has gathered enough information before she can decide whether or not to pay compensation and if so how much. </a:t>
          </a:r>
        </a:p>
        <a:p>
          <a:r>
            <a:rPr lang="en-US" sz="1100">
              <a:solidFill>
                <a:schemeClr val="tx1"/>
              </a:solidFill>
              <a:effectLst/>
              <a:latin typeface="+mn-lt"/>
              <a:ea typeface="+mn-ea"/>
              <a:cs typeface="+mn-cs"/>
            </a:rPr>
            <a:t>If all parties are satisfied with the compensation, the file can be closed. In average this happens after 40 days in total. However, if legal measures are initiated, the process might take considerably longer. A lawsuit easily consumes 5 years. </a:t>
          </a:r>
        </a:p>
        <a:p>
          <a:r>
            <a:rPr lang="en-US" sz="1100">
              <a:solidFill>
                <a:schemeClr val="tx1"/>
              </a:solidFill>
              <a:effectLst/>
              <a:latin typeface="+mn-lt"/>
              <a:ea typeface="+mn-ea"/>
              <a:cs typeface="+mn-cs"/>
            </a:rPr>
            <a:t>Considering all claims, the insurance pays 3,500€ as compensation for physical damage and personal in-jury. Internal costs sum up to 500€ as an average.</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9</xdr:col>
      <xdr:colOff>0</xdr:colOff>
      <xdr:row>28</xdr:row>
      <xdr:rowOff>171450</xdr:rowOff>
    </xdr:from>
    <xdr:ext cx="3932379" cy="3073277"/>
    <xdr:sp macro="" textlink="">
      <xdr:nvSpPr>
        <xdr:cNvPr id="2" name="TextBox 1">
          <a:extLst>
            <a:ext uri="{FF2B5EF4-FFF2-40B4-BE49-F238E27FC236}">
              <a16:creationId xmlns:a16="http://schemas.microsoft.com/office/drawing/2014/main" id="{B4B6A639-8E45-4B46-A843-A501C3D123E6}"/>
            </a:ext>
          </a:extLst>
        </xdr:cNvPr>
        <xdr:cNvSpPr txBox="1"/>
      </xdr:nvSpPr>
      <xdr:spPr>
        <a:xfrm>
          <a:off x="13462727" y="7699643"/>
          <a:ext cx="3932379" cy="3073277"/>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AT" sz="1100" b="1">
              <a:solidFill>
                <a:schemeClr val="tx1"/>
              </a:solidFill>
              <a:effectLst/>
              <a:latin typeface="+mn-lt"/>
              <a:ea typeface="+mn-ea"/>
              <a:cs typeface="+mn-cs"/>
            </a:rPr>
            <a:t>Textual Description:</a:t>
          </a:r>
          <a:endParaRPr lang="en-US" sz="1100">
            <a:solidFill>
              <a:schemeClr val="tx1"/>
            </a:solidFill>
            <a:effectLst/>
            <a:latin typeface="+mn-lt"/>
            <a:ea typeface="+mn-ea"/>
            <a:cs typeface="+mn-cs"/>
          </a:endParaRPr>
        </a:p>
        <a:p>
          <a:r>
            <a:rPr lang="en-US" sz="1100" b="0" i="0">
              <a:solidFill>
                <a:schemeClr val="tx1"/>
              </a:solidFill>
              <a:effectLst/>
              <a:latin typeface="+mn-lt"/>
              <a:ea typeface="+mn-ea"/>
              <a:cs typeface="+mn-cs"/>
            </a:rPr>
            <a:t>The motor claim handling process starts when a customer submits a claim with the</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relevant documentation. The notification department at the car insurer checks the</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documents upon completeness and registers the claim.</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Next, the Handling department picks up the claim and checks the insurance.</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Then, an assessment is performed. If the assessment is positive, a garage is phoned to</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authorize the repairs and the payment is scheduled (in this order). Otherwise, the claim</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is rejected. The claim is also immediately rejected if any of the previous checks fail.</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In any case (whether the outcome is positive or negative), a letter is sent to the customer</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and the process is considered to be complete</a:t>
          </a:r>
          <a:endParaRPr lang="en-US" sz="1100">
            <a:solidFill>
              <a:schemeClr val="tx1"/>
            </a:solidFill>
            <a:effectLst/>
            <a:latin typeface="+mn-lt"/>
            <a:ea typeface="+mn-ea"/>
            <a:cs typeface="+mn-cs"/>
          </a:endParaRP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8</xdr:col>
      <xdr:colOff>479425</xdr:colOff>
      <xdr:row>16</xdr:row>
      <xdr:rowOff>107950</xdr:rowOff>
    </xdr:from>
    <xdr:ext cx="3932379" cy="2159053"/>
    <xdr:sp macro="" textlink="">
      <xdr:nvSpPr>
        <xdr:cNvPr id="2" name="TextBox 1">
          <a:extLst>
            <a:ext uri="{FF2B5EF4-FFF2-40B4-BE49-F238E27FC236}">
              <a16:creationId xmlns:a16="http://schemas.microsoft.com/office/drawing/2014/main" id="{B2B349AA-EE8B-406D-A1ED-01D2A727DC8C}"/>
            </a:ext>
          </a:extLst>
        </xdr:cNvPr>
        <xdr:cNvSpPr txBox="1"/>
      </xdr:nvSpPr>
      <xdr:spPr>
        <a:xfrm>
          <a:off x="11388725" y="2870200"/>
          <a:ext cx="3932379" cy="2159053"/>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AT" sz="1100" b="1">
              <a:solidFill>
                <a:schemeClr val="tx1"/>
              </a:solidFill>
              <a:effectLst/>
              <a:latin typeface="+mn-lt"/>
              <a:ea typeface="+mn-ea"/>
              <a:cs typeface="+mn-cs"/>
            </a:rPr>
            <a:t>Textual Description:</a:t>
          </a:r>
        </a:p>
        <a:p>
          <a:r>
            <a:rPr lang="en-US" sz="1100">
              <a:solidFill>
                <a:schemeClr val="tx1"/>
              </a:solidFill>
              <a:effectLst/>
              <a:latin typeface="+mn-lt"/>
              <a:ea typeface="+mn-ea"/>
              <a:cs typeface="+mn-cs"/>
            </a:rPr>
            <a:t>Your fridge produces strange noises. You describe the symptoms, and send them together with the type of fridge to the central fridge service center.  They select a local service facility (which all have their own way of interacting with customers).</a:t>
          </a:r>
        </a:p>
        <a:p>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The service facility makes an appointment. They arrive at a random time, and sometimes have to leave without repairing your fridge, because they need additional parts.</a:t>
          </a:r>
        </a:p>
        <a:p>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After your fridge is repaired, you have to confirm that it is OK again. You can rate the service facility.</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8</xdr:col>
      <xdr:colOff>479425</xdr:colOff>
      <xdr:row>17</xdr:row>
      <xdr:rowOff>107950</xdr:rowOff>
    </xdr:from>
    <xdr:ext cx="3932379" cy="2159053"/>
    <xdr:sp macro="" textlink="">
      <xdr:nvSpPr>
        <xdr:cNvPr id="2" name="TextBox 1">
          <a:extLst>
            <a:ext uri="{FF2B5EF4-FFF2-40B4-BE49-F238E27FC236}">
              <a16:creationId xmlns:a16="http://schemas.microsoft.com/office/drawing/2014/main" id="{5506104C-4C01-4D45-8059-BBC80CE391C1}"/>
            </a:ext>
          </a:extLst>
        </xdr:cNvPr>
        <xdr:cNvSpPr txBox="1"/>
      </xdr:nvSpPr>
      <xdr:spPr>
        <a:xfrm>
          <a:off x="11388725" y="2686050"/>
          <a:ext cx="3932379" cy="2159053"/>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AT" sz="1100" b="1">
              <a:solidFill>
                <a:schemeClr val="tx1"/>
              </a:solidFill>
              <a:effectLst/>
              <a:latin typeface="+mn-lt"/>
              <a:ea typeface="+mn-ea"/>
              <a:cs typeface="+mn-cs"/>
            </a:rPr>
            <a:t>Textual Description:</a:t>
          </a:r>
        </a:p>
        <a:p>
          <a:r>
            <a:rPr lang="en-US" sz="1100" b="0" i="0" u="none" strike="noStrike" baseline="0">
              <a:solidFill>
                <a:schemeClr val="tx1"/>
              </a:solidFill>
              <a:latin typeface="+mn-lt"/>
              <a:ea typeface="+mn-ea"/>
              <a:cs typeface="+mn-cs"/>
            </a:rPr>
            <a:t> If goods shall be shipped, the secretary clarifies who will do the shipping. If you have large amounts, special shipping will be necessary. In these cases the secretary invites three logistic companies to make offers and she selects one of them. In case of small amounts, normal post shipment is used. Therefore a package label is written by the secretary and a parcel insurance taken by the logistics department head if necessary. </a:t>
          </a:r>
        </a:p>
        <a:p>
          <a:r>
            <a:rPr lang="en-US" sz="1100" b="0" i="0" u="none" strike="noStrike" baseline="0">
              <a:solidFill>
                <a:schemeClr val="tx1"/>
              </a:solidFill>
              <a:latin typeface="+mn-lt"/>
              <a:ea typeface="+mn-ea"/>
              <a:cs typeface="+mn-cs"/>
            </a:rPr>
            <a:t>In the meantime the goods can be already packaged by the warehousemen. </a:t>
          </a:r>
        </a:p>
        <a:p>
          <a:r>
            <a:rPr lang="en-US" sz="1100" b="0" i="0" u="none" strike="noStrike" baseline="0">
              <a:solidFill>
                <a:schemeClr val="tx1"/>
              </a:solidFill>
              <a:latin typeface="+mn-lt"/>
              <a:ea typeface="+mn-ea"/>
              <a:cs typeface="+mn-cs"/>
            </a:rPr>
            <a:t>If everything is ready, the packaged goods are prepared for being picked up by the logistic company. </a:t>
          </a:r>
          <a:endParaRPr lang="en-US" sz="1100">
            <a:solidFill>
              <a:schemeClr val="tx1"/>
            </a:solidFill>
            <a:effectLst/>
            <a:latin typeface="+mn-lt"/>
            <a:ea typeface="+mn-ea"/>
            <a:cs typeface="+mn-cs"/>
          </a:endParaRP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9</xdr:col>
      <xdr:colOff>0</xdr:colOff>
      <xdr:row>24</xdr:row>
      <xdr:rowOff>68228</xdr:rowOff>
    </xdr:from>
    <xdr:ext cx="3932379" cy="3709092"/>
    <xdr:sp macro="" textlink="">
      <xdr:nvSpPr>
        <xdr:cNvPr id="2" name="TextBox 1">
          <a:extLst>
            <a:ext uri="{FF2B5EF4-FFF2-40B4-BE49-F238E27FC236}">
              <a16:creationId xmlns:a16="http://schemas.microsoft.com/office/drawing/2014/main" id="{FF08258A-92E6-4875-8E28-A5E7CEF05C2F}"/>
            </a:ext>
          </a:extLst>
        </xdr:cNvPr>
        <xdr:cNvSpPr txBox="1"/>
      </xdr:nvSpPr>
      <xdr:spPr>
        <a:xfrm>
          <a:off x="11563013" y="4215994"/>
          <a:ext cx="3932379" cy="3709092"/>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AT" sz="1100" b="1">
              <a:solidFill>
                <a:schemeClr val="tx1"/>
              </a:solidFill>
              <a:effectLst/>
              <a:latin typeface="+mn-lt"/>
              <a:ea typeface="+mn-ea"/>
              <a:cs typeface="+mn-cs"/>
            </a:rPr>
            <a:t>Textual Description:</a:t>
          </a:r>
        </a:p>
        <a:p>
          <a:r>
            <a:rPr lang="en-US" sz="1100" b="0" i="0" u="none" strike="noStrike" baseline="0">
              <a:solidFill>
                <a:schemeClr val="tx1"/>
              </a:solidFill>
              <a:latin typeface="+mn-lt"/>
              <a:ea typeface="+mn-ea"/>
              <a:cs typeface="+mn-cs"/>
            </a:rPr>
            <a:t>To apply for the PhD program, students first fill in an online application form with their personal data. Online applications are recorded in an admission information system to which all staff members involved in the process have access. After a student has submitted the online form, a PDF document is generated and the student is requested to download it, sign it, and send it by post together with a transcript of grades and a letter of motivation. When these documents are received by the admissions office, the officer makes an initial assessment and rejects the application if the student has insufficient grades (such notifications of rejection are sent by email). In case of sufficient grades, the admissions office forwards the student documents by internal mail to the academic committee, which is responsible for deciding whether to offer admission or not. The committee meets once every month to examine all applications that are ready for academic assessment at the time of the meeting. At the end of the committee meeting, the chair of the committee notifies the admissions office of the selection outcomes. A few days later, the admissions office checks the selection outcomes and sends a rejection or admission email to each candidate.</a:t>
          </a:r>
          <a:endParaRPr lang="en-US" sz="1100">
            <a:solidFill>
              <a:schemeClr val="tx1"/>
            </a:solidFill>
            <a:effectLst/>
            <a:latin typeface="+mn-lt"/>
            <a:ea typeface="+mn-ea"/>
            <a:cs typeface="+mn-cs"/>
          </a:endParaRP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9</xdr:col>
      <xdr:colOff>0</xdr:colOff>
      <xdr:row>21</xdr:row>
      <xdr:rowOff>68228</xdr:rowOff>
    </xdr:from>
    <xdr:ext cx="3932379" cy="23515155"/>
    <xdr:sp macro="" textlink="">
      <xdr:nvSpPr>
        <xdr:cNvPr id="2" name="TextBox 1">
          <a:extLst>
            <a:ext uri="{FF2B5EF4-FFF2-40B4-BE49-F238E27FC236}">
              <a16:creationId xmlns:a16="http://schemas.microsoft.com/office/drawing/2014/main" id="{7CBC1D4B-6124-44A3-B89B-FCC720CC8860}"/>
            </a:ext>
          </a:extLst>
        </xdr:cNvPr>
        <xdr:cNvSpPr txBox="1"/>
      </xdr:nvSpPr>
      <xdr:spPr>
        <a:xfrm>
          <a:off x="11557339" y="4119528"/>
          <a:ext cx="3932379" cy="23515155"/>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AT" sz="1100" b="1">
              <a:solidFill>
                <a:schemeClr val="tx1"/>
              </a:solidFill>
              <a:effectLst/>
              <a:latin typeface="+mn-lt"/>
              <a:ea typeface="+mn-ea"/>
              <a:cs typeface="+mn-cs"/>
            </a:rPr>
            <a:t>Textual Description:</a:t>
          </a:r>
        </a:p>
        <a:p>
          <a:r>
            <a:rPr lang="de-AT" sz="1100" b="0">
              <a:solidFill>
                <a:schemeClr val="tx1"/>
              </a:solidFill>
              <a:effectLst/>
              <a:latin typeface="+mn-lt"/>
              <a:ea typeface="+mn-ea"/>
              <a:cs typeface="+mn-cs"/>
            </a:rPr>
            <a:t>Create a process that helps in gathering information about work accidents (and almost work accidents):</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For insured gainful employment, a work accident is considered to be an accident that occurs in the following circumstances, by way of example:</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 the accident occurs in a location, at a time and with a cause that correlates to the insured employment</a:t>
          </a:r>
        </a:p>
        <a:p>
          <a:r>
            <a:rPr lang="de-AT" sz="1100" b="0">
              <a:solidFill>
                <a:schemeClr val="tx1"/>
              </a:solidFill>
              <a:effectLst/>
              <a:latin typeface="+mn-lt"/>
              <a:ea typeface="+mn-ea"/>
              <a:cs typeface="+mn-cs"/>
            </a:rPr>
            <a:t>* when working from home</a:t>
          </a:r>
        </a:p>
        <a:p>
          <a:r>
            <a:rPr lang="de-AT" sz="1100" b="0">
              <a:solidFill>
                <a:schemeClr val="tx1"/>
              </a:solidFill>
              <a:effectLst/>
              <a:latin typeface="+mn-lt"/>
              <a:ea typeface="+mn-ea"/>
              <a:cs typeface="+mn-cs"/>
            </a:rPr>
            <a:t>* on the direct route from the permanent place of residence to work, to lunch or on the way home, whereby carpools are also protected</a:t>
          </a:r>
        </a:p>
        <a:p>
          <a:r>
            <a:rPr lang="de-AT" sz="1100" b="0">
              <a:solidFill>
                <a:schemeClr val="tx1"/>
              </a:solidFill>
              <a:effectLst/>
              <a:latin typeface="+mn-lt"/>
              <a:ea typeface="+mn-ea"/>
              <a:cs typeface="+mn-cs"/>
            </a:rPr>
            <a:t>* for training sessions that serve to provide specific professional knowledge, whereby an accident on to way to or from the training centre is considered a work accident</a:t>
          </a:r>
        </a:p>
        <a:p>
          <a:r>
            <a:rPr lang="de-AT" sz="1100" b="0">
              <a:solidFill>
                <a:schemeClr val="tx1"/>
              </a:solidFill>
              <a:effectLst/>
              <a:latin typeface="+mn-lt"/>
              <a:ea typeface="+mn-ea"/>
              <a:cs typeface="+mn-cs"/>
            </a:rPr>
            <a:t>* on the direct route from home, or from the workplace or training centre to a doctor and back, if this interrupts the direct route from the permanent place of residence to work or the route home (the doctor’s visit must be notified to the employer in advance)</a:t>
          </a:r>
        </a:p>
        <a:p>
          <a:r>
            <a:rPr lang="de-AT" sz="1100" b="0">
              <a:solidFill>
                <a:schemeClr val="tx1"/>
              </a:solidFill>
              <a:effectLst/>
              <a:latin typeface="+mn-lt"/>
              <a:ea typeface="+mn-ea"/>
              <a:cs typeface="+mn-cs"/>
            </a:rPr>
            <a:t>* on the way to or from the workplace or training centre with the purpose of taking a child to or collecting them from a childcare facility, a daycare facility, external care or a school, insofar as they have a supervisory responsibility for the child</a:t>
          </a:r>
        </a:p>
        <a:p>
          <a:r>
            <a:rPr lang="de-AT" sz="1100" b="0">
              <a:solidFill>
                <a:schemeClr val="tx1"/>
              </a:solidFill>
              <a:effectLst/>
              <a:latin typeface="+mn-lt"/>
              <a:ea typeface="+mn-ea"/>
              <a:cs typeface="+mn-cs"/>
            </a:rPr>
            <a:t>* when making use of advocacy groups or professional associations (e.g. Chamber of Labour, trade union federation, guild etc.)</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For kindergarten children, schoolchildren and students, an accident is considered to be a work accident if, amongst other things</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 the accident occurs in a location, at a time and with a cause that correlates to the school or university education or the compulsory kindergarten year that forms the basis of the insurance</a:t>
          </a:r>
        </a:p>
        <a:p>
          <a:r>
            <a:rPr lang="de-AT" sz="1100" b="0">
              <a:solidFill>
                <a:schemeClr val="tx1"/>
              </a:solidFill>
              <a:effectLst/>
              <a:latin typeface="+mn-lt"/>
              <a:ea typeface="+mn-ea"/>
              <a:cs typeface="+mn-cs"/>
            </a:rPr>
            <a:t>* when taking part in a school event or school-related event</a:t>
          </a:r>
        </a:p>
        <a:p>
          <a:r>
            <a:rPr lang="de-AT" sz="1100" b="0">
              <a:solidFill>
                <a:schemeClr val="tx1"/>
              </a:solidFill>
              <a:effectLst/>
              <a:latin typeface="+mn-lt"/>
              <a:ea typeface="+mn-ea"/>
              <a:cs typeface="+mn-cs"/>
            </a:rPr>
            <a:t>* on the direct route from the child’s place of residence or permanent accommodation to kindergarten or a school visit or on the way home</a:t>
          </a:r>
        </a:p>
        <a:p>
          <a:r>
            <a:rPr lang="de-AT" sz="1100" b="0">
              <a:solidFill>
                <a:schemeClr val="tx1"/>
              </a:solidFill>
              <a:effectLst/>
              <a:latin typeface="+mn-lt"/>
              <a:ea typeface="+mn-ea"/>
              <a:cs typeface="+mn-cs"/>
            </a:rPr>
            <a:t>* when performing a practical task prescribed as part of the curriculum and/or the study regulations or</a:t>
          </a:r>
        </a:p>
        <a:p>
          <a:r>
            <a:rPr lang="de-AT" sz="1100" b="0">
              <a:solidFill>
                <a:schemeClr val="tx1"/>
              </a:solidFill>
              <a:effectLst/>
              <a:latin typeface="+mn-lt"/>
              <a:ea typeface="+mn-ea"/>
              <a:cs typeface="+mn-cs"/>
            </a:rPr>
            <a:t>* in certain professional (training) orientations.</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In an agricultural or forestry establishment, accidents can be considered work accidents if they do not occur directly while performing the insured employment. Depending on the protected group of people, the following tasks are covered by accident insurance:</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 working in the household of the owner of the company and/or the employee, if the household serves the company to a considerable extent</a:t>
          </a:r>
        </a:p>
        <a:p>
          <a:r>
            <a:rPr lang="de-AT" sz="1100" b="0">
              <a:solidFill>
                <a:schemeClr val="tx1"/>
              </a:solidFill>
              <a:effectLst/>
              <a:latin typeface="+mn-lt"/>
              <a:ea typeface="+mn-ea"/>
              <a:cs typeface="+mn-cs"/>
            </a:rPr>
            <a:t>* working in connection with providing accommodation for guests</a:t>
          </a:r>
        </a:p>
        <a:p>
          <a:r>
            <a:rPr lang="de-AT" sz="1100" b="0">
              <a:solidFill>
                <a:schemeClr val="tx1"/>
              </a:solidFill>
              <a:effectLst/>
              <a:latin typeface="+mn-lt"/>
              <a:ea typeface="+mn-ea"/>
              <a:cs typeface="+mn-cs"/>
            </a:rPr>
            <a:t>* secondary occupations for the sale of agricultural products from the farm</a:t>
          </a:r>
        </a:p>
        <a:p>
          <a:r>
            <a:rPr lang="de-AT" sz="1100" b="0">
              <a:solidFill>
                <a:schemeClr val="tx1"/>
              </a:solidFill>
              <a:effectLst/>
              <a:latin typeface="+mn-lt"/>
              <a:ea typeface="+mn-ea"/>
              <a:cs typeface="+mn-cs"/>
            </a:rPr>
            <a:t>* working in the context of erecting, converting and repairing buildings that serve the agricultural and forestry establishment</a:t>
          </a:r>
        </a:p>
        <a:p>
          <a:r>
            <a:rPr lang="de-AT" sz="1100" b="0">
              <a:solidFill>
                <a:schemeClr val="tx1"/>
              </a:solidFill>
              <a:effectLst/>
              <a:latin typeface="+mn-lt"/>
              <a:ea typeface="+mn-ea"/>
              <a:cs typeface="+mn-cs"/>
            </a:rPr>
            <a:t>* working in the context of neighbourhood assistance for another agricultural and forestry establishment</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Certain accidents are considered the same as work accidents and in many cases can also affect people who do not have accident insurance. Accidents that occur in one of the following situations, among others, are considered to be work accidents outside of professional activity:</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 for activities with which services from the Arbeitslosenversicherungsgestez/Arbeitsmarktförderungsgesetz are being made use of (e.g. on the way to an arranged job interview)</a:t>
          </a:r>
        </a:p>
        <a:p>
          <a:r>
            <a:rPr lang="de-AT" sz="1100" b="0">
              <a:solidFill>
                <a:schemeClr val="tx1"/>
              </a:solidFill>
              <a:effectLst/>
              <a:latin typeface="+mn-lt"/>
              <a:ea typeface="+mn-ea"/>
              <a:cs typeface="+mn-cs"/>
            </a:rPr>
            <a:t>* when assisting with an accident or donating blood</a:t>
          </a:r>
        </a:p>
        <a:p>
          <a:r>
            <a:rPr lang="de-AT" sz="1100" b="0">
              <a:solidFill>
                <a:schemeClr val="tx1"/>
              </a:solidFill>
              <a:effectLst/>
              <a:latin typeface="+mn-lt"/>
              <a:ea typeface="+mn-ea"/>
              <a:cs typeface="+mn-cs"/>
            </a:rPr>
            <a:t>* when receiving training, taking part in exercises or serving as a member of one of the following aid organisations:</a:t>
          </a:r>
        </a:p>
        <a:p>
          <a:r>
            <a:rPr lang="de-AT" sz="1100" b="0">
              <a:solidFill>
                <a:schemeClr val="tx1"/>
              </a:solidFill>
              <a:effectLst/>
              <a:latin typeface="+mn-lt"/>
              <a:ea typeface="+mn-ea"/>
              <a:cs typeface="+mn-cs"/>
            </a:rPr>
            <a:t>  * Volunteer fire brigade</a:t>
          </a:r>
        </a:p>
        <a:p>
          <a:r>
            <a:rPr lang="de-AT" sz="1100" b="0">
              <a:solidFill>
                <a:schemeClr val="tx1"/>
              </a:solidFill>
              <a:effectLst/>
              <a:latin typeface="+mn-lt"/>
              <a:ea typeface="+mn-ea"/>
              <a:cs typeface="+mn-cs"/>
            </a:rPr>
            <a:t>  * Volunteer water rescue service</a:t>
          </a:r>
        </a:p>
        <a:p>
          <a:r>
            <a:rPr lang="de-AT" sz="1100" b="0">
              <a:solidFill>
                <a:schemeClr val="tx1"/>
              </a:solidFill>
              <a:effectLst/>
              <a:latin typeface="+mn-lt"/>
              <a:ea typeface="+mn-ea"/>
              <a:cs typeface="+mn-cs"/>
            </a:rPr>
            <a:t>  * Volunteer rescue organisations</a:t>
          </a:r>
        </a:p>
        <a:p>
          <a:r>
            <a:rPr lang="de-AT" sz="1100" b="0">
              <a:solidFill>
                <a:schemeClr val="tx1"/>
              </a:solidFill>
              <a:effectLst/>
              <a:latin typeface="+mn-lt"/>
              <a:ea typeface="+mn-ea"/>
              <a:cs typeface="+mn-cs"/>
            </a:rPr>
            <a:t>  * Austrian Red Cross</a:t>
          </a:r>
        </a:p>
        <a:p>
          <a:r>
            <a:rPr lang="de-AT" sz="1100" b="0">
              <a:solidFill>
                <a:schemeClr val="tx1"/>
              </a:solidFill>
              <a:effectLst/>
              <a:latin typeface="+mn-lt"/>
              <a:ea typeface="+mn-ea"/>
              <a:cs typeface="+mn-cs"/>
            </a:rPr>
            <a:t>  * Austrian Alpine Rescue Service</a:t>
          </a:r>
        </a:p>
        <a:p>
          <a:r>
            <a:rPr lang="de-AT" sz="1100" b="0">
              <a:solidFill>
                <a:schemeClr val="tx1"/>
              </a:solidFill>
              <a:effectLst/>
              <a:latin typeface="+mn-lt"/>
              <a:ea typeface="+mn-ea"/>
              <a:cs typeface="+mn-cs"/>
            </a:rPr>
            <a:t>  * Austrian Water Rescue</a:t>
          </a:r>
        </a:p>
        <a:p>
          <a:r>
            <a:rPr lang="de-AT" sz="1100" b="0">
              <a:solidFill>
                <a:schemeClr val="tx1"/>
              </a:solidFill>
              <a:effectLst/>
              <a:latin typeface="+mn-lt"/>
              <a:ea typeface="+mn-ea"/>
              <a:cs typeface="+mn-cs"/>
            </a:rPr>
            <a:t>  * Austrian Rescue Dog Brigade</a:t>
          </a:r>
        </a:p>
        <a:p>
          <a:r>
            <a:rPr lang="de-AT" sz="1100" b="0">
              <a:solidFill>
                <a:schemeClr val="tx1"/>
              </a:solidFill>
              <a:effectLst/>
              <a:latin typeface="+mn-lt"/>
              <a:ea typeface="+mn-ea"/>
              <a:cs typeface="+mn-cs"/>
            </a:rPr>
            <a:t>  * Avalanche warning committees</a:t>
          </a:r>
        </a:p>
        <a:p>
          <a:r>
            <a:rPr lang="de-AT" sz="1100" b="0">
              <a:solidFill>
                <a:schemeClr val="tx1"/>
              </a:solidFill>
              <a:effectLst/>
              <a:latin typeface="+mn-lt"/>
              <a:ea typeface="+mn-ea"/>
              <a:cs typeface="+mn-cs"/>
            </a:rPr>
            <a:t>  * Air rescue service</a:t>
          </a:r>
        </a:p>
        <a:p>
          <a:r>
            <a:rPr lang="de-AT" sz="1100" b="0">
              <a:solidFill>
                <a:schemeClr val="tx1"/>
              </a:solidFill>
              <a:effectLst/>
              <a:latin typeface="+mn-lt"/>
              <a:ea typeface="+mn-ea"/>
              <a:cs typeface="+mn-cs"/>
            </a:rPr>
            <a:t>  * Radiation detection and survey crews</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The employees must inform the employer immediately of:</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 any work accident</a:t>
          </a:r>
        </a:p>
        <a:p>
          <a:r>
            <a:rPr lang="de-AT" sz="1100" b="0">
              <a:solidFill>
                <a:schemeClr val="tx1"/>
              </a:solidFill>
              <a:effectLst/>
              <a:latin typeface="+mn-lt"/>
              <a:ea typeface="+mn-ea"/>
              <a:cs typeface="+mn-cs"/>
            </a:rPr>
            <a:t>* any incident that would almost have led to an accident</a:t>
          </a:r>
        </a:p>
        <a:p>
          <a:r>
            <a:rPr lang="de-AT" sz="1100" b="0">
              <a:solidFill>
                <a:schemeClr val="tx1"/>
              </a:solidFill>
              <a:effectLst/>
              <a:latin typeface="+mn-lt"/>
              <a:ea typeface="+mn-ea"/>
              <a:cs typeface="+mn-cs"/>
            </a:rPr>
            <a:t>* any serious and immediate risk to safety and health that they discover</a:t>
          </a:r>
        </a:p>
        <a:p>
          <a:r>
            <a:rPr lang="de-AT" sz="1100" b="0">
              <a:solidFill>
                <a:schemeClr val="tx1"/>
              </a:solidFill>
              <a:effectLst/>
              <a:latin typeface="+mn-lt"/>
              <a:ea typeface="+mn-ea"/>
              <a:cs typeface="+mn-cs"/>
            </a:rPr>
            <a:t>* any defect discovered in protection systems.</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The employer must, in turn, immediately report any work accident that leads to</a:t>
          </a:r>
        </a:p>
        <a:p>
          <a:r>
            <a:rPr lang="de-AT" sz="1100" b="0">
              <a:solidFill>
                <a:schemeClr val="tx1"/>
              </a:solidFill>
              <a:effectLst/>
              <a:latin typeface="+mn-lt"/>
              <a:ea typeface="+mn-ea"/>
              <a:cs typeface="+mn-cs"/>
            </a:rPr>
            <a:t>a fatality or serious injury to the Labour Inspectorate, if it has not been</a:t>
          </a:r>
        </a:p>
        <a:p>
          <a:r>
            <a:rPr lang="de-AT" sz="1100" b="0">
              <a:solidFill>
                <a:schemeClr val="tx1"/>
              </a:solidFill>
              <a:effectLst/>
              <a:latin typeface="+mn-lt"/>
              <a:ea typeface="+mn-ea"/>
              <a:cs typeface="+mn-cs"/>
            </a:rPr>
            <a:t>reported to the emergency services.</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Independent of this, every work accident in which a person with accident</a:t>
          </a:r>
        </a:p>
        <a:p>
          <a:r>
            <a:rPr lang="de-AT" sz="1100" b="0">
              <a:solidFill>
                <a:schemeClr val="tx1"/>
              </a:solidFill>
              <a:effectLst/>
              <a:latin typeface="+mn-lt"/>
              <a:ea typeface="+mn-ea"/>
              <a:cs typeface="+mn-cs"/>
            </a:rPr>
            <a:t>insurance has been killed, or injured in such a way that they are unable to</a:t>
          </a:r>
        </a:p>
        <a:p>
          <a:r>
            <a:rPr lang="de-AT" sz="1100" b="0">
              <a:solidFill>
                <a:schemeClr val="tx1"/>
              </a:solidFill>
              <a:effectLst/>
              <a:latin typeface="+mn-lt"/>
              <a:ea typeface="+mn-ea"/>
              <a:cs typeface="+mn-cs"/>
            </a:rPr>
            <a:t>work for three days, in full or in part, must be reported to the responsible</a:t>
          </a:r>
        </a:p>
        <a:p>
          <a:r>
            <a:rPr lang="de-AT" sz="1100" b="0">
              <a:solidFill>
                <a:schemeClr val="tx1"/>
              </a:solidFill>
              <a:effectLst/>
              <a:latin typeface="+mn-lt"/>
              <a:ea typeface="+mn-ea"/>
              <a:cs typeface="+mn-cs"/>
            </a:rPr>
            <a:t>accident insurance provider within five days.</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As a self-employed person, please ensure that you not only report accidents</a:t>
          </a:r>
        </a:p>
        <a:p>
          <a:r>
            <a:rPr lang="de-AT" sz="1100" b="0">
              <a:solidFill>
                <a:schemeClr val="tx1"/>
              </a:solidFill>
              <a:effectLst/>
              <a:latin typeface="+mn-lt"/>
              <a:ea typeface="+mn-ea"/>
              <a:cs typeface="+mn-cs"/>
            </a:rPr>
            <a:t>involving people you employ but also those that involve you to the accident</a:t>
          </a:r>
        </a:p>
        <a:p>
          <a:r>
            <a:rPr lang="de-AT" sz="1100" b="0">
              <a:solidFill>
                <a:schemeClr val="tx1"/>
              </a:solidFill>
              <a:effectLst/>
              <a:latin typeface="+mn-lt"/>
              <a:ea typeface="+mn-ea"/>
              <a:cs typeface="+mn-cs"/>
            </a:rPr>
            <a:t>insurance provider in good time.</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Students and schoolchildren should report accidents to the competent</a:t>
          </a:r>
        </a:p>
        <a:p>
          <a:r>
            <a:rPr lang="de-AT" sz="1100" b="0">
              <a:solidFill>
                <a:schemeClr val="tx1"/>
              </a:solidFill>
              <a:effectLst/>
              <a:latin typeface="+mn-lt"/>
              <a:ea typeface="+mn-ea"/>
              <a:cs typeface="+mn-cs"/>
            </a:rPr>
            <a:t>directorate. Schools, educational facilities and universities are obliged to</a:t>
          </a:r>
        </a:p>
        <a:p>
          <a:r>
            <a:rPr lang="de-AT" sz="1100" b="0">
              <a:solidFill>
                <a:schemeClr val="tx1"/>
              </a:solidFill>
              <a:effectLst/>
              <a:latin typeface="+mn-lt"/>
              <a:ea typeface="+mn-ea"/>
              <a:cs typeface="+mn-cs"/>
            </a:rPr>
            <a:t>report every work accident through which a person with accident insurance is</a:t>
          </a:r>
        </a:p>
        <a:p>
          <a:r>
            <a:rPr lang="de-AT" sz="1100" b="0">
              <a:solidFill>
                <a:schemeClr val="tx1"/>
              </a:solidFill>
              <a:effectLst/>
              <a:latin typeface="+mn-lt"/>
              <a:ea typeface="+mn-ea"/>
              <a:cs typeface="+mn-cs"/>
            </a:rPr>
            <a:t>physically injured or killed within a maximum of five days to the responsible</a:t>
          </a:r>
        </a:p>
        <a:p>
          <a:r>
            <a:rPr lang="de-AT" sz="1100" b="0">
              <a:solidFill>
                <a:schemeClr val="tx1"/>
              </a:solidFill>
              <a:effectLst/>
              <a:latin typeface="+mn-lt"/>
              <a:ea typeface="+mn-ea"/>
              <a:cs typeface="+mn-cs"/>
            </a:rPr>
            <a:t>accident insurance provider in triplicate.</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In the case of private insurance, the insured party must report an accident in</a:t>
          </a:r>
        </a:p>
        <a:p>
          <a:r>
            <a:rPr lang="de-AT" sz="1100" b="0">
              <a:solidFill>
                <a:schemeClr val="tx1"/>
              </a:solidFill>
              <a:effectLst/>
              <a:latin typeface="+mn-lt"/>
              <a:ea typeface="+mn-ea"/>
              <a:cs typeface="+mn-cs"/>
            </a:rPr>
            <a:t>writing immediately in line with the conditions and to avoid the provider from</a:t>
          </a:r>
        </a:p>
        <a:p>
          <a:r>
            <a:rPr lang="de-AT" sz="1100" b="0">
              <a:solidFill>
                <a:schemeClr val="tx1"/>
              </a:solidFill>
              <a:effectLst/>
              <a:latin typeface="+mn-lt"/>
              <a:ea typeface="+mn-ea"/>
              <a:cs typeface="+mn-cs"/>
            </a:rPr>
            <a:t>being released from the obligation to perform. If there are fatalities, this</a:t>
          </a:r>
        </a:p>
        <a:p>
          <a:r>
            <a:rPr lang="de-AT" sz="1100" b="0">
              <a:solidFill>
                <a:schemeClr val="tx1"/>
              </a:solidFill>
              <a:effectLst/>
              <a:latin typeface="+mn-lt"/>
              <a:ea typeface="+mn-ea"/>
              <a:cs typeface="+mn-cs"/>
            </a:rPr>
            <a:t>must be reported within three days, even if the accident has already been</a:t>
          </a:r>
        </a:p>
        <a:p>
          <a:r>
            <a:rPr lang="de-AT" sz="1100" b="0">
              <a:solidFill>
                <a:schemeClr val="tx1"/>
              </a:solidFill>
              <a:effectLst/>
              <a:latin typeface="+mn-lt"/>
              <a:ea typeface="+mn-ea"/>
              <a:cs typeface="+mn-cs"/>
            </a:rPr>
            <a:t>reported.</a:t>
          </a:r>
        </a:p>
        <a:p>
          <a:endParaRPr lang="de-AT" sz="1100" b="0">
            <a:solidFill>
              <a:schemeClr val="tx1"/>
            </a:solidFill>
            <a:effectLst/>
            <a:latin typeface="+mn-lt"/>
            <a:ea typeface="+mn-ea"/>
            <a:cs typeface="+mn-cs"/>
          </a:endParaRP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9</xdr:col>
      <xdr:colOff>0</xdr:colOff>
      <xdr:row>20</xdr:row>
      <xdr:rowOff>68228</xdr:rowOff>
    </xdr:from>
    <xdr:ext cx="3932379" cy="16798317"/>
    <xdr:sp macro="" textlink="">
      <xdr:nvSpPr>
        <xdr:cNvPr id="2" name="TextBox 1">
          <a:extLst>
            <a:ext uri="{FF2B5EF4-FFF2-40B4-BE49-F238E27FC236}">
              <a16:creationId xmlns:a16="http://schemas.microsoft.com/office/drawing/2014/main" id="{5725ED53-927E-4AAD-918F-59AEE692308B}"/>
            </a:ext>
          </a:extLst>
        </xdr:cNvPr>
        <xdr:cNvSpPr txBox="1"/>
      </xdr:nvSpPr>
      <xdr:spPr>
        <a:xfrm>
          <a:off x="11557339" y="4119528"/>
          <a:ext cx="3932379" cy="16798317"/>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AT" sz="1100" b="1">
              <a:solidFill>
                <a:schemeClr val="tx1"/>
              </a:solidFill>
              <a:effectLst/>
              <a:latin typeface="+mn-lt"/>
              <a:ea typeface="+mn-ea"/>
              <a:cs typeface="+mn-cs"/>
            </a:rPr>
            <a:t>Textual Description:</a:t>
          </a:r>
        </a:p>
        <a:p>
          <a:r>
            <a:rPr lang="de-AT" sz="1100" b="0">
              <a:solidFill>
                <a:schemeClr val="tx1"/>
              </a:solidFill>
              <a:effectLst/>
              <a:latin typeface="+mn-lt"/>
              <a:ea typeface="+mn-ea"/>
              <a:cs typeface="+mn-cs"/>
            </a:rPr>
            <a:t>Please check the requirements for working and living in austria. Create a</a:t>
          </a:r>
        </a:p>
        <a:p>
          <a:r>
            <a:rPr lang="de-AT" sz="1100" b="0">
              <a:solidFill>
                <a:schemeClr val="tx1"/>
              </a:solidFill>
              <a:effectLst/>
              <a:latin typeface="+mn-lt"/>
              <a:ea typeface="+mn-ea"/>
              <a:cs typeface="+mn-cs"/>
            </a:rPr>
            <a:t>process that assists you for a combination of the steps.</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Include:</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 Organizing accomodation and bank account (negotiation)</a:t>
          </a:r>
        </a:p>
        <a:p>
          <a:r>
            <a:rPr lang="de-AT" sz="1100" b="0">
              <a:solidFill>
                <a:schemeClr val="tx1"/>
              </a:solidFill>
              <a:effectLst/>
              <a:latin typeface="+mn-lt"/>
              <a:ea typeface="+mn-ea"/>
              <a:cs typeface="+mn-cs"/>
            </a:rPr>
            <a:t>* Visa (every x amount of months) - Rot-Weiss-Rot Card</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Requirements</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General principles and requirements for the issue of Visas:</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 visa application form</a:t>
          </a:r>
        </a:p>
        <a:p>
          <a:r>
            <a:rPr lang="de-AT" sz="1100" b="0">
              <a:solidFill>
                <a:schemeClr val="tx1"/>
              </a:solidFill>
              <a:effectLst/>
              <a:latin typeface="+mn-lt"/>
              <a:ea typeface="+mn-ea"/>
              <a:cs typeface="+mn-cs"/>
            </a:rPr>
            <a:t>* a travel document valid in Austria, with a validity period exceeding the duration of the visa by at least three months and with at least two empty pages, that was issued within the last ten years</a:t>
          </a:r>
        </a:p>
        <a:p>
          <a:r>
            <a:rPr lang="de-AT" sz="1100" b="0">
              <a:solidFill>
                <a:schemeClr val="tx1"/>
              </a:solidFill>
              <a:effectLst/>
              <a:latin typeface="+mn-lt"/>
              <a:ea typeface="+mn-ea"/>
              <a:cs typeface="+mn-cs"/>
            </a:rPr>
            <a:t>* a passport photo (portrait format, 35 x 45 mm) in accordance with the specified passport photo criteria</a:t>
          </a:r>
        </a:p>
        <a:p>
          <a:r>
            <a:rPr lang="de-AT" sz="1100" b="0">
              <a:solidFill>
                <a:schemeClr val="tx1"/>
              </a:solidFill>
              <a:effectLst/>
              <a:latin typeface="+mn-lt"/>
              <a:ea typeface="+mn-ea"/>
              <a:cs typeface="+mn-cs"/>
            </a:rPr>
            <a:t>* presentation of an fully comprehensive travel health insurance policy for the planned duration of the stay (amount of cover: 30.000 Euro, valid for the entire Schengen area)</a:t>
          </a:r>
        </a:p>
        <a:p>
          <a:r>
            <a:rPr lang="de-AT" sz="1100" b="0">
              <a:solidFill>
                <a:schemeClr val="tx1"/>
              </a:solidFill>
              <a:effectLst/>
              <a:latin typeface="+mn-lt"/>
              <a:ea typeface="+mn-ea"/>
              <a:cs typeface="+mn-cs"/>
            </a:rPr>
            <a:t>* proof of sufficient means of subsistence for the duration of the intended stay and for the return journey to the country of origin or residence</a:t>
          </a:r>
        </a:p>
        <a:p>
          <a:r>
            <a:rPr lang="de-AT" sz="1100" b="0">
              <a:solidFill>
                <a:schemeClr val="tx1"/>
              </a:solidFill>
              <a:effectLst/>
              <a:latin typeface="+mn-lt"/>
              <a:ea typeface="+mn-ea"/>
              <a:cs typeface="+mn-cs"/>
            </a:rPr>
            <a:t>* other evidence requested by the relevant authorities (hotel reservations, invitations, booking confirmations, return flight ticket, proof of gainful employment etc.) – as these are adapted to local standards and coordinated with other Schengen representations, the evidence to be provided may vary depending on location</a:t>
          </a:r>
        </a:p>
        <a:p>
          <a:r>
            <a:rPr lang="de-AT" sz="1100" b="0">
              <a:solidFill>
                <a:schemeClr val="tx1"/>
              </a:solidFill>
              <a:effectLst/>
              <a:latin typeface="+mn-lt"/>
              <a:ea typeface="+mn-ea"/>
              <a:cs typeface="+mn-cs"/>
            </a:rPr>
            <a:t>* absence of other grounds for refusal (residence prohibition, alert issued by a Schengen country)</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Depending on the circumstances, additional documents may be requested. Please</a:t>
          </a:r>
        </a:p>
        <a:p>
          <a:r>
            <a:rPr lang="de-AT" sz="1100" b="0">
              <a:solidFill>
                <a:schemeClr val="tx1"/>
              </a:solidFill>
              <a:effectLst/>
              <a:latin typeface="+mn-lt"/>
              <a:ea typeface="+mn-ea"/>
              <a:cs typeface="+mn-cs"/>
            </a:rPr>
            <a:t>contact the representation in advance for more information.</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Generally speaking, all visa types are issued by representation offices (→</a:t>
          </a:r>
        </a:p>
        <a:p>
          <a:r>
            <a:rPr lang="de-AT" sz="1100" b="0">
              <a:solidFill>
                <a:schemeClr val="tx1"/>
              </a:solidFill>
              <a:effectLst/>
              <a:latin typeface="+mn-lt"/>
              <a:ea typeface="+mn-ea"/>
              <a:cs typeface="+mn-cs"/>
            </a:rPr>
            <a:t>BMEIA) abroad or, in specific exceptional cases, by certain border control</a:t>
          </a:r>
        </a:p>
        <a:p>
          <a:r>
            <a:rPr lang="de-AT" sz="1100" b="0">
              <a:solidFill>
                <a:schemeClr val="tx1"/>
              </a:solidFill>
              <a:effectLst/>
              <a:latin typeface="+mn-lt"/>
              <a:ea typeface="+mn-ea"/>
              <a:cs typeface="+mn-cs"/>
            </a:rPr>
            <a:t>posts or, where extension of the visa is permitted, by the state police</a:t>
          </a:r>
        </a:p>
        <a:p>
          <a:r>
            <a:rPr lang="de-AT" sz="1100" b="0">
              <a:solidFill>
                <a:schemeClr val="tx1"/>
              </a:solidFill>
              <a:effectLst/>
              <a:latin typeface="+mn-lt"/>
              <a:ea typeface="+mn-ea"/>
              <a:cs typeface="+mn-cs"/>
            </a:rPr>
            <a:t>headquarters.</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Schengen visas must be issued by the representation office of the</a:t>
          </a:r>
        </a:p>
        <a:p>
          <a:r>
            <a:rPr lang="de-AT" sz="1100" b="0">
              <a:solidFill>
                <a:schemeClr val="tx1"/>
              </a:solidFill>
              <a:effectLst/>
              <a:latin typeface="+mn-lt"/>
              <a:ea typeface="+mn-ea"/>
              <a:cs typeface="+mn-cs"/>
            </a:rPr>
            <a:t>country in which the main travel destination of the visa applicant is located.</a:t>
          </a:r>
        </a:p>
        <a:p>
          <a:r>
            <a:rPr lang="de-AT" sz="1100" b="0">
              <a:solidFill>
                <a:schemeClr val="tx1"/>
              </a:solidFill>
              <a:effectLst/>
              <a:latin typeface="+mn-lt"/>
              <a:ea typeface="+mn-ea"/>
              <a:cs typeface="+mn-cs"/>
            </a:rPr>
            <a:t>If the applicant intends to spend an equal amount of time in several countries</a:t>
          </a:r>
        </a:p>
        <a:p>
          <a:r>
            <a:rPr lang="de-AT" sz="1100" b="0">
              <a:solidFill>
                <a:schemeClr val="tx1"/>
              </a:solidFill>
              <a:effectLst/>
              <a:latin typeface="+mn-lt"/>
              <a:ea typeface="+mn-ea"/>
              <a:cs typeface="+mn-cs"/>
            </a:rPr>
            <a:t>(for example, when touring), the competent representation office is that of the</a:t>
          </a:r>
        </a:p>
        <a:p>
          <a:r>
            <a:rPr lang="de-AT" sz="1100" b="0">
              <a:solidFill>
                <a:schemeClr val="tx1"/>
              </a:solidFill>
              <a:effectLst/>
              <a:latin typeface="+mn-lt"/>
              <a:ea typeface="+mn-ea"/>
              <a:cs typeface="+mn-cs"/>
            </a:rPr>
            <a:t>country in whose territory the main travel destination is located, on the basis</a:t>
          </a:r>
        </a:p>
        <a:p>
          <a:r>
            <a:rPr lang="de-AT" sz="1100" b="0">
              <a:solidFill>
                <a:schemeClr val="tx1"/>
              </a:solidFill>
              <a:effectLst/>
              <a:latin typeface="+mn-lt"/>
              <a:ea typeface="+mn-ea"/>
              <a:cs typeface="+mn-cs"/>
            </a:rPr>
            <a:t>of the length and purpose of the stay. If it is not possible to determine a</a:t>
          </a:r>
        </a:p>
        <a:p>
          <a:r>
            <a:rPr lang="de-AT" sz="1100" b="0">
              <a:solidFill>
                <a:schemeClr val="tx1"/>
              </a:solidFill>
              <a:effectLst/>
              <a:latin typeface="+mn-lt"/>
              <a:ea typeface="+mn-ea"/>
              <a:cs typeface="+mn-cs"/>
            </a:rPr>
            <a:t>main travel destination, the member country of first entry into the Schengen</a:t>
          </a:r>
        </a:p>
        <a:p>
          <a:r>
            <a:rPr lang="de-AT" sz="1100" b="0">
              <a:solidFill>
                <a:schemeClr val="tx1"/>
              </a:solidFill>
              <a:effectLst/>
              <a:latin typeface="+mn-lt"/>
              <a:ea typeface="+mn-ea"/>
              <a:cs typeface="+mn-cs"/>
            </a:rPr>
            <a:t>area is responsible for issuing the visa.</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Territorial competence for applications for category A and C visas falls to the</a:t>
          </a:r>
        </a:p>
        <a:p>
          <a:r>
            <a:rPr lang="de-AT" sz="1100" b="0">
              <a:solidFill>
                <a:schemeClr val="tx1"/>
              </a:solidFill>
              <a:effectLst/>
              <a:latin typeface="+mn-lt"/>
              <a:ea typeface="+mn-ea"/>
              <a:cs typeface="+mn-cs"/>
            </a:rPr>
            <a:t>representation office in the consular district where the legal place of</a:t>
          </a:r>
        </a:p>
        <a:p>
          <a:r>
            <a:rPr lang="de-AT" sz="1100" b="0">
              <a:solidFill>
                <a:schemeClr val="tx1"/>
              </a:solidFill>
              <a:effectLst/>
              <a:latin typeface="+mn-lt"/>
              <a:ea typeface="+mn-ea"/>
              <a:cs typeface="+mn-cs"/>
            </a:rPr>
            <a:t>residence of the applicant is located. A representation office may claim</a:t>
          </a:r>
        </a:p>
        <a:p>
          <a:r>
            <a:rPr lang="de-AT" sz="1100" b="0">
              <a:solidFill>
                <a:schemeClr val="tx1"/>
              </a:solidFill>
              <a:effectLst/>
              <a:latin typeface="+mn-lt"/>
              <a:ea typeface="+mn-ea"/>
              <a:cs typeface="+mn-cs"/>
            </a:rPr>
            <a:t>exceptional competence for applications from third‑country nationals legally</a:t>
          </a:r>
        </a:p>
        <a:p>
          <a:r>
            <a:rPr lang="de-AT" sz="1100" b="0">
              <a:solidFill>
                <a:schemeClr val="tx1"/>
              </a:solidFill>
              <a:effectLst/>
              <a:latin typeface="+mn-lt"/>
              <a:ea typeface="+mn-ea"/>
              <a:cs typeface="+mn-cs"/>
            </a:rPr>
            <a:t>residing but not registered in their district if the applicant can provide</a:t>
          </a:r>
        </a:p>
        <a:p>
          <a:r>
            <a:rPr lang="de-AT" sz="1100" b="0">
              <a:solidFill>
                <a:schemeClr val="tx1"/>
              </a:solidFill>
              <a:effectLst/>
              <a:latin typeface="+mn-lt"/>
              <a:ea typeface="+mn-ea"/>
              <a:cs typeface="+mn-cs"/>
            </a:rPr>
            <a:t>justification as to why they had to submit their application to that particular</a:t>
          </a:r>
        </a:p>
        <a:p>
          <a:r>
            <a:rPr lang="de-AT" sz="1100" b="0">
              <a:solidFill>
                <a:schemeClr val="tx1"/>
              </a:solidFill>
              <a:effectLst/>
              <a:latin typeface="+mn-lt"/>
              <a:ea typeface="+mn-ea"/>
              <a:cs typeface="+mn-cs"/>
            </a:rPr>
            <a:t>consulate.</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Type D visas, however, must be applied for at the competent Austrian</a:t>
          </a:r>
        </a:p>
        <a:p>
          <a:r>
            <a:rPr lang="de-AT" sz="1100" b="0">
              <a:solidFill>
                <a:schemeClr val="tx1"/>
              </a:solidFill>
              <a:effectLst/>
              <a:latin typeface="+mn-lt"/>
              <a:ea typeface="+mn-ea"/>
              <a:cs typeface="+mn-cs"/>
            </a:rPr>
            <a:t>representation. The provisions of Section 8 of the FPG apply to type D visas.</a:t>
          </a:r>
        </a:p>
        <a:p>
          <a:r>
            <a:rPr lang="de-AT" sz="1100" b="0">
              <a:solidFill>
                <a:schemeClr val="tx1"/>
              </a:solidFill>
              <a:effectLst/>
              <a:latin typeface="+mn-lt"/>
              <a:ea typeface="+mn-ea"/>
              <a:cs typeface="+mn-cs"/>
            </a:rPr>
            <a:t>In accordance with these provisions, the territorial competence for carrying</a:t>
          </a:r>
        </a:p>
        <a:p>
          <a:r>
            <a:rPr lang="de-AT" sz="1100" b="0">
              <a:solidFill>
                <a:schemeClr val="tx1"/>
              </a:solidFill>
              <a:effectLst/>
              <a:latin typeface="+mn-lt"/>
              <a:ea typeface="+mn-ea"/>
              <a:cs typeface="+mn-cs"/>
            </a:rPr>
            <a:t>out official actions in relation to visas is determined on the basis of the</a:t>
          </a:r>
        </a:p>
        <a:p>
          <a:r>
            <a:rPr lang="de-AT" sz="1100" b="0">
              <a:solidFill>
                <a:schemeClr val="tx1"/>
              </a:solidFill>
              <a:effectLst/>
              <a:latin typeface="+mn-lt"/>
              <a:ea typeface="+mn-ea"/>
              <a:cs typeface="+mn-cs"/>
            </a:rPr>
            <a:t>foreign national's the place of residence (i.e. their centre of interest,</a:t>
          </a:r>
        </a:p>
        <a:p>
          <a:r>
            <a:rPr lang="de-AT" sz="1100" b="0">
              <a:solidFill>
                <a:schemeClr val="tx1"/>
              </a:solidFill>
              <a:effectLst/>
              <a:latin typeface="+mn-lt"/>
              <a:ea typeface="+mn-ea"/>
              <a:cs typeface="+mn-cs"/>
            </a:rPr>
            <a:t>verifiable by means of e.g. registration forms, residence permit, visa).</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A list of all representation offices (addresses, telephone numbers, opening</a:t>
          </a:r>
        </a:p>
        <a:p>
          <a:r>
            <a:rPr lang="de-AT" sz="1100" b="0">
              <a:solidFill>
                <a:schemeClr val="tx1"/>
              </a:solidFill>
              <a:effectLst/>
              <a:latin typeface="+mn-lt"/>
              <a:ea typeface="+mn-ea"/>
              <a:cs typeface="+mn-cs"/>
            </a:rPr>
            <a:t>hours, special requirements for issuing visas etc.) can be found on the website</a:t>
          </a:r>
        </a:p>
        <a:p>
          <a:r>
            <a:rPr lang="de-AT" sz="1100" b="0">
              <a:solidFill>
                <a:schemeClr val="tx1"/>
              </a:solidFill>
              <a:effectLst/>
              <a:latin typeface="+mn-lt"/>
              <a:ea typeface="+mn-ea"/>
              <a:cs typeface="+mn-cs"/>
            </a:rPr>
            <a:t>of the Federal Ministry of European and International Affairs.</a:t>
          </a:r>
        </a:p>
        <a:p>
          <a:endParaRPr lang="de-AT" sz="1100" b="0">
            <a:solidFill>
              <a:schemeClr val="tx1"/>
            </a:solidFill>
            <a:effectLst/>
            <a:latin typeface="+mn-lt"/>
            <a:ea typeface="+mn-ea"/>
            <a:cs typeface="+mn-cs"/>
          </a:endParaRP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9</xdr:col>
      <xdr:colOff>0</xdr:colOff>
      <xdr:row>18</xdr:row>
      <xdr:rowOff>0</xdr:rowOff>
    </xdr:from>
    <xdr:ext cx="3932379" cy="13009331"/>
    <xdr:sp macro="" textlink="">
      <xdr:nvSpPr>
        <xdr:cNvPr id="2" name="TextBox 1">
          <a:extLst>
            <a:ext uri="{FF2B5EF4-FFF2-40B4-BE49-F238E27FC236}">
              <a16:creationId xmlns:a16="http://schemas.microsoft.com/office/drawing/2014/main" id="{8C3E7432-6BF6-4A5E-8B65-5766D77AF06A}"/>
            </a:ext>
          </a:extLst>
        </xdr:cNvPr>
        <xdr:cNvSpPr txBox="1"/>
      </xdr:nvSpPr>
      <xdr:spPr>
        <a:xfrm>
          <a:off x="11517285" y="11563356"/>
          <a:ext cx="3932379" cy="13009331"/>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AT" sz="1100" b="1">
              <a:solidFill>
                <a:schemeClr val="tx1"/>
              </a:solidFill>
              <a:effectLst/>
              <a:latin typeface="+mn-lt"/>
              <a:ea typeface="+mn-ea"/>
              <a:cs typeface="+mn-cs"/>
            </a:rPr>
            <a:t>Textual Description:</a:t>
          </a:r>
        </a:p>
        <a:p>
          <a:r>
            <a:rPr lang="de-AT" sz="1100" b="0">
              <a:solidFill>
                <a:schemeClr val="tx1"/>
              </a:solidFill>
              <a:effectLst/>
              <a:latin typeface="+mn-lt"/>
              <a:ea typeface="+mn-ea"/>
              <a:cs typeface="+mn-cs"/>
            </a:rPr>
            <a:t>At the beginning the customer perceives that her subscribed service has degraded. A listwith all the problem parameters is then sent to the Customer Service department of TELECO.At the customer service an employee enters (based on the received data) a problem report intosystem T.. Then the problem report is compared to the customer SLA to identify what the extentand the details of the service degradation are. Based on this, the necessary counter measures aredetermined including their respective priorities. An electronic service then determines thesignificance of the customer based on information that has been collected during the history ofthe contractual relationship. In case the customer is premium, the process will link to an extraproblem fix process (this process will not be detailed here). In case the customer is of certainsignificance which would affect the counter measures previously decided upon, the process goesback to re-prioritize these measures – otherwise the process continues. Taking together theinformation (i.e. contract commitment data + prioritized actions) a detailed problem report iscreated. The detailed problem report is then sent to Service Management. Service Managementdeals on a first level with violations of quality in services that are provided to customers.After receiving the detailed problem report, Service management investigates whether theproblem is analyzable at the level of their department or whether the problem may be located atResource Provisioning. In case Service Management assesses the problem to be not analyzable bythemselves, the detailed problem report is sent out to Resource Provisioning. If ServiceManagement is sure they can analyze it, they perform the analysis and based on the outcome theycreate a trouble report that indicates the type of problem.After Resource Provisioning receives the detailed problem report, it is checked whether there areany possible problems. If no problems are detected, a notification about the normal serviceexecution is created. If a problem is detected this will be analyzed by Resource Provisioning and atrouble report is created. Either trouble report or the ‘normal execution’ notification will beincluded in a status report and sent back to Service Management.Service Management then prepares the final status report based on the received information.Subsequently it has to be determined what counter measures should be taken depending on theinformation in the final status report. Three alternative process paths may be taken.For the case that no problem was detected at all, the actual service performance is sent back to the Customer Service. For the case that minor corrective actions are required, Service Management will undertake corrective actions by themselves. Subsequently, the problem resolution report is created and then sent out to Customer Service. After sending, this process path of Service Management ends. For the case that automatic resource restoration from Resource Provisioning is required, Service Management must create a request for automatic resource restoration. This message is then sent to Resource Provisioning. Resource Provisioning has been on-hold and waiting for a restoration request – but this must happen within 2 days after the status report was sent out, otherwise Resource Provisioning terminates the process. After the restoration request is received, all possible errors are tracked. Based on the tracked errors, allnecessary corrective actions are undertaken by Resource Provisioning. Then a trouble-shootingreport is created. This report is sent out to Service Management; then the process ends.The trouble-shooting report is received by Service Management and this information goes theninto the creation of the problem resolution report just as described for ii). Customer Serviceeither receives the actual service performance (if there was no problem) or the problemresolution report. Then, two concurrent activities are triggered, i.e. i) a report is created for thecustomer which details the current service performance and the resolution of the problem, and ii)an SLA violation rebate is reported to Billing &amp; Collections who will adjust the billing. The reportfor the customer is sent out to her. After all three activities are completed the process ends withinCustomer Service. After the customer then receives the report about service performance andproblem resolution from Customer Service, the process flow at the customer also ends.</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9</xdr:col>
      <xdr:colOff>0</xdr:colOff>
      <xdr:row>17</xdr:row>
      <xdr:rowOff>0</xdr:rowOff>
    </xdr:from>
    <xdr:ext cx="3932379" cy="11459291"/>
    <xdr:sp macro="" textlink="">
      <xdr:nvSpPr>
        <xdr:cNvPr id="2" name="TextBox 1">
          <a:extLst>
            <a:ext uri="{FF2B5EF4-FFF2-40B4-BE49-F238E27FC236}">
              <a16:creationId xmlns:a16="http://schemas.microsoft.com/office/drawing/2014/main" id="{292F313D-8807-45F6-A543-6D6E8706D3E8}"/>
            </a:ext>
          </a:extLst>
        </xdr:cNvPr>
        <xdr:cNvSpPr txBox="1"/>
      </xdr:nvSpPr>
      <xdr:spPr>
        <a:xfrm>
          <a:off x="11557339" y="4119528"/>
          <a:ext cx="3932379" cy="11459291"/>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AT" sz="1100" b="1">
              <a:solidFill>
                <a:schemeClr val="tx1"/>
              </a:solidFill>
              <a:effectLst/>
              <a:latin typeface="+mn-lt"/>
              <a:ea typeface="+mn-ea"/>
              <a:cs typeface="+mn-cs"/>
            </a:rPr>
            <a:t>Textual Description:</a:t>
          </a:r>
        </a:p>
        <a:p>
          <a:r>
            <a:rPr lang="de-AT" sz="1100" b="0">
              <a:solidFill>
                <a:schemeClr val="tx1"/>
              </a:solidFill>
              <a:effectLst/>
              <a:latin typeface="+mn-lt"/>
              <a:ea typeface="+mn-ea"/>
              <a:cs typeface="+mn-cs"/>
            </a:rPr>
            <a:t>The process is initiated by a switch-over request. In doing so, the customer transmitshis data to the customer service department of the company. Customer service is a shared servicecenter between the departments Sales and Distribution. The customer data is received bycustomer service and based on this data a customer data object is entered into the CRM system.After customer data has been entered itshould then be compared with the internal customer data base and checked for completeness andplausibility. In case of any errors these should be corrected on the basis of a simple error list. Thecomparison of data is done to prevent individual customer data being stored multiple times. Incase the customer does not exist in the customer data base, a new customer object is beingcreated which will remain the data object of interest during the rest of the process flow.This object consists of data elements such as the customer’s name and address and the assignedpower gauge. The generated customer object is then used, in combination with other customerdata to prepare the contract documents for the power supplier switch (including data such asbank connection, information on the selected rate, requested date of switch-over). In thefollowing an automated check of the contract documents is carried out within the CIS (customerinformation system) in order to confirm their successful generation. In case of a negativeresponse, i.e. the contract documents are not (or incorrectly) generated, the causing issues arebeing analyzed and resolved. Subsequently the contract documents are generated once again.In case of a positive response a confirmation document is sent out to the customer stating thatthe switch-over to the new supplier can be executed. A request to the grid operator is automatically sent out by the CIS. It puts the question whether the customer may be supplied by the selected supplier in the future. The switch-over request is checked by the grid operator forsupplier concurrence, and the grid operator transmits a response comment. In the case ofsupplier concurrence the grid operator would inform all involved suppliers and demand theresolution of the conflict. The grid operator communicates with the old supplier and carries outthe termination of the sales agreement between the customer and the old supplier (i.e. thecustomer service (of the “new” supplier) does not have to interact with the old supplier regardingtermination).If there are not any objections by the grid operator (i.e. no supplier concurrence), customerservice creates a CIS contract. The customer then has the chance to check the contract details and based on this check may decide to either withdraw from the switch contract or confirm it. Depending on the customer’s acceptance/rejection the process flow atcustomer service either ends (in case of withdrawal) or continues (in case of a confirmation). Anadditional constraint is that the customer can only withdraw from the offered contract within 7days – after the 7th day the contract will be regarded as accepted and the process continues. Theconfirmation message by the customer is therefore not absolutely necessary (as it will count asaccepted after 7 days in any way) but it can speed up the switch process.On the switch-date, but no later than 10 days after power supplyhas begun, the grid operator transmits the power meter data to the customer service and the oldsupplier via messages containing a services consumption report. At the same time, the gridoperator computes the final billing based on the meter data and sends it to the old supplier.Likewise the old supplier creates and sends the final billing to the customer. For the customer aswell as the grid operator the process ends then. After receiving the meter data customer serviceimports the meter data to systems that require the information. The process of “winning” a newcustomer ends here.</a:t>
          </a:r>
        </a:p>
      </xdr:txBody>
    </xdr:sp>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F4082-3480-487B-ADDD-6660AA02B975}">
  <dimension ref="A1:L22"/>
  <sheetViews>
    <sheetView tabSelected="1" zoomScale="89" zoomScaleNormal="89" workbookViewId="0">
      <selection activeCell="H26" sqref="H26"/>
    </sheetView>
  </sheetViews>
  <sheetFormatPr defaultRowHeight="14.5" x14ac:dyDescent="0.35"/>
  <cols>
    <col min="1" max="1" width="23.54296875" customWidth="1"/>
    <col min="2" max="2" width="14.26953125" customWidth="1"/>
    <col min="3" max="3" width="12.1796875" customWidth="1"/>
    <col min="6" max="6" width="19.1796875" customWidth="1"/>
    <col min="7" max="7" width="16.7265625" customWidth="1"/>
    <col min="8" max="9" width="15.1796875" customWidth="1"/>
    <col min="11" max="11" width="16.6328125" customWidth="1"/>
    <col min="12" max="12" width="15" customWidth="1"/>
  </cols>
  <sheetData>
    <row r="1" spans="1:12" x14ac:dyDescent="0.35">
      <c r="A1" s="1" t="s">
        <v>126</v>
      </c>
      <c r="B1" s="1" t="s">
        <v>119</v>
      </c>
      <c r="C1" s="1" t="s">
        <v>120</v>
      </c>
      <c r="F1" s="1" t="s">
        <v>127</v>
      </c>
      <c r="G1" s="1" t="s">
        <v>119</v>
      </c>
      <c r="H1" s="1" t="s">
        <v>120</v>
      </c>
      <c r="I1" s="1"/>
    </row>
    <row r="2" spans="1:12" x14ac:dyDescent="0.35">
      <c r="A2" s="13">
        <v>1</v>
      </c>
      <c r="B2">
        <f>AVERAGE('c1'!C3:E3)</f>
        <v>55.55555555555555</v>
      </c>
      <c r="C2">
        <f>AVERAGE('c1'!F3:H3)</f>
        <v>55.55555555555555</v>
      </c>
      <c r="F2" s="13">
        <v>1</v>
      </c>
      <c r="G2">
        <f>AVERAGE('c1'!C4:E4)</f>
        <v>100</v>
      </c>
      <c r="H2">
        <f>AVERAGE('c1'!F4:H4)</f>
        <v>100</v>
      </c>
    </row>
    <row r="3" spans="1:12" x14ac:dyDescent="0.35">
      <c r="A3" s="13">
        <v>2</v>
      </c>
      <c r="B3">
        <f>AVERAGE('c2'!C3:E3)</f>
        <v>61.111111111111107</v>
      </c>
      <c r="C3">
        <f>AVERAGE('c2'!F3:H3)</f>
        <v>66.666666666666671</v>
      </c>
      <c r="F3" s="13">
        <v>2</v>
      </c>
      <c r="G3">
        <f>AVERAGE('c2'!C4:E4)</f>
        <v>100</v>
      </c>
      <c r="H3">
        <f>AVERAGE('c2'!F4:H4)</f>
        <v>100</v>
      </c>
    </row>
    <row r="4" spans="1:12" x14ac:dyDescent="0.35">
      <c r="A4" s="13">
        <v>5</v>
      </c>
      <c r="B4">
        <f>AVERAGE('c5'!C3:E3)</f>
        <v>100</v>
      </c>
      <c r="C4">
        <f>AVERAGE('c5'!F3:H3)</f>
        <v>100</v>
      </c>
      <c r="F4" s="13">
        <v>5</v>
      </c>
      <c r="G4">
        <f>AVERAGE('c5'!C4:E4)</f>
        <v>100</v>
      </c>
      <c r="H4">
        <f>AVERAGE('c5'!F4:H4)</f>
        <v>100</v>
      </c>
    </row>
    <row r="5" spans="1:12" x14ac:dyDescent="0.35">
      <c r="A5" s="13">
        <v>7</v>
      </c>
      <c r="B5">
        <f>AVERAGE('c7'!C3:E3)</f>
        <v>86.666666666666671</v>
      </c>
      <c r="C5">
        <f>AVERAGE('c7'!F3:H3)</f>
        <v>93.333333333333329</v>
      </c>
      <c r="F5" s="13">
        <v>7</v>
      </c>
      <c r="G5">
        <f>AVERAGE('c7'!C4:E4)</f>
        <v>100</v>
      </c>
      <c r="H5">
        <f>AVERAGE('c7'!F4:H4)</f>
        <v>75</v>
      </c>
    </row>
    <row r="6" spans="1:12" x14ac:dyDescent="0.35">
      <c r="A6" s="13">
        <v>8</v>
      </c>
      <c r="B6">
        <f>AVERAGE('c8'!C3:E3)</f>
        <v>100</v>
      </c>
      <c r="C6">
        <f>AVERAGE('c8'!F3:H3)</f>
        <v>100</v>
      </c>
      <c r="F6" s="13">
        <v>8</v>
      </c>
      <c r="G6">
        <f>AVERAGE('c8'!C4:E4)</f>
        <v>100</v>
      </c>
      <c r="H6">
        <f>AVERAGE('c8'!F4:H4)</f>
        <v>100</v>
      </c>
    </row>
    <row r="7" spans="1:12" x14ac:dyDescent="0.35">
      <c r="A7" s="13">
        <v>9</v>
      </c>
      <c r="B7">
        <f>AVERAGE('c9'!C3:E3)</f>
        <v>100</v>
      </c>
      <c r="C7">
        <f>AVERAGE('c9'!F3:H3)</f>
        <v>100</v>
      </c>
      <c r="F7" s="13">
        <v>9</v>
      </c>
      <c r="G7">
        <f>AVERAGE('c9'!C4:E4)</f>
        <v>100</v>
      </c>
      <c r="H7">
        <f>AVERAGE('c9'!F4:H4)</f>
        <v>83.333333333333329</v>
      </c>
    </row>
    <row r="8" spans="1:12" x14ac:dyDescent="0.35">
      <c r="A8" s="13">
        <v>10</v>
      </c>
      <c r="B8">
        <f>AVERAGE('c10'!C3:E3)</f>
        <v>100</v>
      </c>
      <c r="C8">
        <f>AVERAGE('c10'!F3:H3)</f>
        <v>100</v>
      </c>
      <c r="F8" s="13">
        <v>10</v>
      </c>
      <c r="G8">
        <f>AVERAGE('c10'!C4:E4)</f>
        <v>100</v>
      </c>
      <c r="H8">
        <f>AVERAGE('c10'!F4:H4)</f>
        <v>100</v>
      </c>
    </row>
    <row r="9" spans="1:12" x14ac:dyDescent="0.35">
      <c r="A9" s="13">
        <v>11</v>
      </c>
      <c r="B9">
        <f>AVERAGE('c11'!C1:E1)</f>
        <v>100</v>
      </c>
      <c r="C9">
        <f>AVERAGE('c11'!F1:H1)</f>
        <v>100</v>
      </c>
      <c r="F9" s="13">
        <v>11</v>
      </c>
      <c r="G9">
        <f>AVERAGE('c11'!C4:E4)</f>
        <v>100</v>
      </c>
      <c r="H9">
        <f>AVERAGE('c11'!F4:H4)</f>
        <v>100</v>
      </c>
    </row>
    <row r="10" spans="1:12" x14ac:dyDescent="0.35">
      <c r="A10" s="13">
        <v>12</v>
      </c>
      <c r="B10">
        <f>AVERAGE('c12'!C3:E3)</f>
        <v>100</v>
      </c>
      <c r="C10">
        <f>AVERAGE('c12'!F3:H3)</f>
        <v>33.333333333333336</v>
      </c>
      <c r="F10" s="13">
        <v>12</v>
      </c>
      <c r="G10">
        <f>AVERAGE('c12'!C4:E4)</f>
        <v>88.8888888888889</v>
      </c>
      <c r="H10">
        <f>AVERAGE('c12'!F4:H4)</f>
        <v>11.111111111111109</v>
      </c>
    </row>
    <row r="11" spans="1:12" x14ac:dyDescent="0.35">
      <c r="A11" s="13">
        <v>13</v>
      </c>
      <c r="B11">
        <f>AVERAGE('c13'!C3:E3)</f>
        <v>59.285714285714285</v>
      </c>
      <c r="C11">
        <f>AVERAGE('c13'!F3:H3)</f>
        <v>40.476190476190474</v>
      </c>
      <c r="F11" s="13">
        <v>13</v>
      </c>
      <c r="G11">
        <f>AVERAGE('c13'!C4:E4)</f>
        <v>100</v>
      </c>
      <c r="H11">
        <f>AVERAGE('c13'!F4:H4)</f>
        <v>100</v>
      </c>
    </row>
    <row r="12" spans="1:12" x14ac:dyDescent="0.35">
      <c r="A12" s="13">
        <v>14</v>
      </c>
      <c r="B12">
        <f>AVERAGE('c14'!C3:E3)</f>
        <v>100</v>
      </c>
      <c r="C12">
        <f>AVERAGE('c14'!F3:H3)</f>
        <v>45.079365079365083</v>
      </c>
      <c r="F12" s="13">
        <v>14</v>
      </c>
      <c r="G12">
        <f>AVERAGE('c14'!C4:E4)</f>
        <v>100</v>
      </c>
      <c r="H12">
        <f>AVERAGE('c14'!F4:H4)</f>
        <v>100</v>
      </c>
    </row>
    <row r="13" spans="1:12" x14ac:dyDescent="0.35">
      <c r="A13" s="13">
        <v>15</v>
      </c>
      <c r="B13">
        <f>AVERAGE('c15'!C3:E3)</f>
        <v>100</v>
      </c>
      <c r="C13">
        <f>AVERAGE('c15'!F3:H3)</f>
        <v>100</v>
      </c>
      <c r="F13" s="13">
        <v>15</v>
      </c>
      <c r="G13">
        <f>AVERAGE('c15'!C4:E4)</f>
        <v>85.714285714285708</v>
      </c>
      <c r="H13">
        <f>AVERAGE('c15'!F4:H4)</f>
        <v>66.666666666666671</v>
      </c>
    </row>
    <row r="14" spans="1:12" x14ac:dyDescent="0.35">
      <c r="A14" s="13">
        <v>16</v>
      </c>
      <c r="B14">
        <f>AVERAGE('c16'!C3:E3)</f>
        <v>68.452380952380963</v>
      </c>
      <c r="C14">
        <f>AVERAGE('c16'!F3:H3)</f>
        <v>100</v>
      </c>
      <c r="F14" s="13">
        <v>16</v>
      </c>
      <c r="G14">
        <f>AVERAGE('c16'!C4:E4)</f>
        <v>83.333333333333343</v>
      </c>
      <c r="H14">
        <f>AVERAGE('c16'!F4:H4)</f>
        <v>66.666666666666657</v>
      </c>
    </row>
    <row r="16" spans="1:12" x14ac:dyDescent="0.35">
      <c r="A16" s="1" t="s">
        <v>126</v>
      </c>
      <c r="B16" s="1" t="s">
        <v>119</v>
      </c>
      <c r="C16" s="1" t="s">
        <v>120</v>
      </c>
      <c r="F16" s="1" t="s">
        <v>127</v>
      </c>
      <c r="J16" s="1" t="s">
        <v>128</v>
      </c>
      <c r="K16" s="1" t="s">
        <v>119</v>
      </c>
      <c r="L16" s="1" t="s">
        <v>120</v>
      </c>
    </row>
    <row r="17" spans="1:12" x14ac:dyDescent="0.35">
      <c r="A17" s="1" t="s">
        <v>121</v>
      </c>
      <c r="B17">
        <f xml:space="preserve"> AVERAGE(B2:B3)</f>
        <v>58.333333333333329</v>
      </c>
      <c r="C17">
        <f xml:space="preserve"> AVERAGE(C2:C3)</f>
        <v>61.111111111111114</v>
      </c>
      <c r="F17" s="1" t="s">
        <v>121</v>
      </c>
      <c r="G17">
        <f xml:space="preserve"> AVERAGE(G2:G3)</f>
        <v>100</v>
      </c>
      <c r="H17">
        <f xml:space="preserve"> AVERAGE(H2:H3)</f>
        <v>100</v>
      </c>
    </row>
    <row r="18" spans="1:12" x14ac:dyDescent="0.35">
      <c r="A18" s="1" t="s">
        <v>122</v>
      </c>
      <c r="B18">
        <f xml:space="preserve"> AVERAGE(B4:B6)</f>
        <v>95.555555555555557</v>
      </c>
      <c r="C18">
        <f xml:space="preserve"> AVERAGE(C4:C6)</f>
        <v>97.777777777777771</v>
      </c>
      <c r="F18" s="1" t="s">
        <v>122</v>
      </c>
      <c r="G18">
        <f xml:space="preserve"> AVERAGE(G4:G6)</f>
        <v>100</v>
      </c>
      <c r="H18">
        <f xml:space="preserve"> AVERAGE(H4:H6)</f>
        <v>91.666666666666671</v>
      </c>
    </row>
    <row r="19" spans="1:12" x14ac:dyDescent="0.35">
      <c r="A19" s="1" t="s">
        <v>123</v>
      </c>
      <c r="B19">
        <f xml:space="preserve"> AVERAGE(B7:B10)</f>
        <v>100</v>
      </c>
      <c r="C19">
        <f xml:space="preserve"> AVERAGE(C7:C10)</f>
        <v>83.333333333333329</v>
      </c>
      <c r="F19" s="1" t="s">
        <v>123</v>
      </c>
      <c r="G19">
        <f xml:space="preserve"> AVERAGE(G7:G10)</f>
        <v>97.222222222222229</v>
      </c>
      <c r="H19">
        <f xml:space="preserve"> AVERAGE(H7:H10)</f>
        <v>73.6111111111111</v>
      </c>
    </row>
    <row r="20" spans="1:12" x14ac:dyDescent="0.35">
      <c r="A20" s="1" t="s">
        <v>124</v>
      </c>
      <c r="B20">
        <f xml:space="preserve"> AVERAGE(B11:B14)</f>
        <v>81.93452380952381</v>
      </c>
      <c r="C20">
        <f xml:space="preserve"> AVERAGE(C11:C14)</f>
        <v>71.388888888888886</v>
      </c>
      <c r="F20" s="1" t="s">
        <v>124</v>
      </c>
      <c r="G20">
        <f xml:space="preserve"> AVERAGE(G11:G14)</f>
        <v>92.261904761904759</v>
      </c>
      <c r="H20">
        <f xml:space="preserve"> AVERAGE(H11:H14)</f>
        <v>83.333333333333343</v>
      </c>
    </row>
    <row r="22" spans="1:12" x14ac:dyDescent="0.35">
      <c r="A22" s="1" t="s">
        <v>125</v>
      </c>
      <c r="B22">
        <f xml:space="preserve"> AVERAGE(B17:B20)</f>
        <v>83.955853174603178</v>
      </c>
      <c r="C22">
        <f xml:space="preserve"> AVERAGE(C17:C20)</f>
        <v>78.402777777777771</v>
      </c>
      <c r="G22">
        <f xml:space="preserve"> AVERAGE(G17:G20)</f>
        <v>97.371031746031747</v>
      </c>
      <c r="H22">
        <f xml:space="preserve"> AVERAGE(H17:H20)</f>
        <v>87.152777777777771</v>
      </c>
      <c r="K22">
        <f xml:space="preserve"> 2 * (B22 * G22) / (B22 + G22)</f>
        <v>90.167192231946501</v>
      </c>
      <c r="L22">
        <f xml:space="preserve"> 2 * (C22 * H22) / (C22 + H22)</f>
        <v>82.546548750932132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EED19-35B7-4A98-98ED-01AC40CAF2C0}">
  <dimension ref="A1:H25"/>
  <sheetViews>
    <sheetView zoomScale="90" zoomScaleNormal="90" workbookViewId="0">
      <selection activeCell="A18" sqref="A18:XFD20"/>
    </sheetView>
  </sheetViews>
  <sheetFormatPr defaultRowHeight="14.5" x14ac:dyDescent="0.35"/>
  <cols>
    <col min="1" max="1" width="28" customWidth="1"/>
    <col min="2" max="2" width="28.81640625" style="2" customWidth="1"/>
    <col min="3" max="8" width="15.453125" customWidth="1"/>
  </cols>
  <sheetData>
    <row r="1" spans="1:8" x14ac:dyDescent="0.35">
      <c r="A1" s="1" t="s">
        <v>69</v>
      </c>
      <c r="C1">
        <f xml:space="preserve"> SUM(C5:C6) / (C5+ C6+ C9) * 100</f>
        <v>66.666666666666657</v>
      </c>
      <c r="D1">
        <f t="shared" ref="D1:H1" si="0" xml:space="preserve"> SUM(D5:D6) / (D5+ D6+ D9) * 100</f>
        <v>66.666666666666657</v>
      </c>
      <c r="E1">
        <f t="shared" si="0"/>
        <v>66.666666666666657</v>
      </c>
      <c r="F1">
        <f t="shared" si="0"/>
        <v>100</v>
      </c>
      <c r="G1">
        <f t="shared" si="0"/>
        <v>100</v>
      </c>
      <c r="H1">
        <f t="shared" si="0"/>
        <v>100</v>
      </c>
    </row>
    <row r="2" spans="1:8" x14ac:dyDescent="0.35">
      <c r="A2" s="1" t="s">
        <v>68</v>
      </c>
      <c r="C2">
        <f xml:space="preserve"> SUM(C5:C6) / SUM(C5:C7) *100</f>
        <v>100</v>
      </c>
      <c r="D2">
        <f t="shared" ref="D2:H2" si="1" xml:space="preserve"> SUM(D5:D6) / SUM(D5:D7) *100</f>
        <v>100</v>
      </c>
      <c r="E2">
        <f t="shared" si="1"/>
        <v>100</v>
      </c>
      <c r="F2">
        <f t="shared" si="1"/>
        <v>100</v>
      </c>
      <c r="G2">
        <f t="shared" si="1"/>
        <v>100</v>
      </c>
      <c r="H2">
        <f t="shared" si="1"/>
        <v>100</v>
      </c>
    </row>
    <row r="3" spans="1:8" x14ac:dyDescent="0.35">
      <c r="A3" s="1" t="s">
        <v>126</v>
      </c>
      <c r="C3">
        <f xml:space="preserve"> C5/ (C5+ C8) * 100</f>
        <v>50</v>
      </c>
      <c r="D3">
        <f t="shared" ref="D3:H3" si="2" xml:space="preserve"> D5/ (D5+ D8) * 100</f>
        <v>50</v>
      </c>
      <c r="E3">
        <f t="shared" si="2"/>
        <v>66.666666666666657</v>
      </c>
      <c r="F3">
        <f t="shared" si="2"/>
        <v>50</v>
      </c>
      <c r="G3">
        <f t="shared" si="2"/>
        <v>66.666666666666657</v>
      </c>
      <c r="H3">
        <f t="shared" si="2"/>
        <v>50</v>
      </c>
    </row>
    <row r="4" spans="1:8" x14ac:dyDescent="0.35">
      <c r="A4" s="1" t="s">
        <v>127</v>
      </c>
      <c r="C4">
        <f xml:space="preserve"> C5 / (C5+C7) *100</f>
        <v>100</v>
      </c>
      <c r="D4">
        <f t="shared" ref="D4:H4" si="3" xml:space="preserve"> D5 / (D5+D7) *100</f>
        <v>100</v>
      </c>
      <c r="E4">
        <f t="shared" si="3"/>
        <v>100</v>
      </c>
      <c r="F4">
        <f t="shared" si="3"/>
        <v>100</v>
      </c>
      <c r="G4">
        <f t="shared" si="3"/>
        <v>100</v>
      </c>
      <c r="H4">
        <f t="shared" si="3"/>
        <v>100</v>
      </c>
    </row>
    <row r="5" spans="1:8" x14ac:dyDescent="0.35">
      <c r="A5" s="1" t="s">
        <v>46</v>
      </c>
      <c r="C5" s="2">
        <f t="shared" ref="C5:H5" si="4">COUNTIF(C12:C15, 2)</f>
        <v>1</v>
      </c>
      <c r="D5" s="2">
        <f t="shared" si="4"/>
        <v>1</v>
      </c>
      <c r="E5" s="2">
        <f t="shared" si="4"/>
        <v>2</v>
      </c>
      <c r="F5" s="2">
        <f t="shared" si="4"/>
        <v>2</v>
      </c>
      <c r="G5" s="2">
        <f t="shared" si="4"/>
        <v>2</v>
      </c>
      <c r="H5" s="2">
        <f t="shared" si="4"/>
        <v>2</v>
      </c>
    </row>
    <row r="6" spans="1:8" x14ac:dyDescent="0.35">
      <c r="A6" s="1" t="s">
        <v>47</v>
      </c>
      <c r="C6">
        <f t="shared" ref="C6:H6" si="5">COUNTIF(C12:C15, 1)</f>
        <v>1</v>
      </c>
      <c r="D6">
        <f t="shared" si="5"/>
        <v>1</v>
      </c>
      <c r="E6">
        <f t="shared" si="5"/>
        <v>0</v>
      </c>
      <c r="F6">
        <f t="shared" si="5"/>
        <v>0</v>
      </c>
      <c r="G6">
        <f t="shared" si="5"/>
        <v>0</v>
      </c>
      <c r="H6">
        <f t="shared" si="5"/>
        <v>0</v>
      </c>
    </row>
    <row r="7" spans="1:8" x14ac:dyDescent="0.35">
      <c r="A7" s="1" t="s">
        <v>48</v>
      </c>
      <c r="C7">
        <f t="shared" ref="C7:H7" si="6">COUNTIF(C12:C15, 0)</f>
        <v>0</v>
      </c>
      <c r="D7">
        <f t="shared" si="6"/>
        <v>0</v>
      </c>
      <c r="E7">
        <f t="shared" si="6"/>
        <v>0</v>
      </c>
      <c r="F7">
        <f t="shared" si="6"/>
        <v>0</v>
      </c>
      <c r="G7">
        <f t="shared" si="6"/>
        <v>0</v>
      </c>
      <c r="H7">
        <f t="shared" si="6"/>
        <v>0</v>
      </c>
    </row>
    <row r="8" spans="1:8" x14ac:dyDescent="0.35">
      <c r="A8" s="1" t="s">
        <v>49</v>
      </c>
      <c r="C8">
        <f t="shared" ref="C8:H8" si="7">COUNTIF(C17:C25,0) + COUNTIF(C17:C25,1)</f>
        <v>1</v>
      </c>
      <c r="D8">
        <f t="shared" si="7"/>
        <v>1</v>
      </c>
      <c r="E8">
        <f t="shared" si="7"/>
        <v>1</v>
      </c>
      <c r="F8">
        <f t="shared" si="7"/>
        <v>2</v>
      </c>
      <c r="G8">
        <f t="shared" si="7"/>
        <v>1</v>
      </c>
      <c r="H8">
        <f t="shared" si="7"/>
        <v>2</v>
      </c>
    </row>
    <row r="9" spans="1:8" x14ac:dyDescent="0.35">
      <c r="A9" s="1" t="s">
        <v>50</v>
      </c>
      <c r="C9">
        <f>COUNTIF(C17:C25,0)</f>
        <v>1</v>
      </c>
      <c r="D9">
        <f t="shared" ref="D9:H9" si="8">COUNTIF(D17:D25,0)</f>
        <v>1</v>
      </c>
      <c r="E9">
        <f t="shared" si="8"/>
        <v>1</v>
      </c>
      <c r="F9">
        <f t="shared" si="8"/>
        <v>0</v>
      </c>
      <c r="G9">
        <f t="shared" si="8"/>
        <v>0</v>
      </c>
      <c r="H9">
        <f t="shared" si="8"/>
        <v>0</v>
      </c>
    </row>
    <row r="10" spans="1:8" s="3" customFormat="1" x14ac:dyDescent="0.35"/>
    <row r="11" spans="1:8" s="1" customFormat="1" x14ac:dyDescent="0.35">
      <c r="B11" s="5"/>
      <c r="C11" s="1" t="s">
        <v>3</v>
      </c>
      <c r="D11" s="1" t="s">
        <v>4</v>
      </c>
      <c r="E11" s="1" t="s">
        <v>5</v>
      </c>
      <c r="F11" s="1" t="s">
        <v>6</v>
      </c>
      <c r="G11" s="1" t="s">
        <v>7</v>
      </c>
      <c r="H11" s="1" t="s">
        <v>8</v>
      </c>
    </row>
    <row r="12" spans="1:8" x14ac:dyDescent="0.35">
      <c r="A12" s="1" t="s">
        <v>2</v>
      </c>
      <c r="B12" s="2" t="s">
        <v>0</v>
      </c>
      <c r="C12">
        <v>2</v>
      </c>
      <c r="D12">
        <v>2</v>
      </c>
      <c r="E12">
        <v>2</v>
      </c>
      <c r="F12">
        <v>2</v>
      </c>
      <c r="G12">
        <v>2</v>
      </c>
      <c r="H12">
        <v>2</v>
      </c>
    </row>
    <row r="13" spans="1:8" x14ac:dyDescent="0.35">
      <c r="A13" s="1"/>
      <c r="B13" s="2" t="s">
        <v>1</v>
      </c>
      <c r="C13">
        <v>1</v>
      </c>
      <c r="D13">
        <v>1</v>
      </c>
      <c r="E13">
        <v>2</v>
      </c>
      <c r="F13">
        <v>2</v>
      </c>
      <c r="G13">
        <v>2</v>
      </c>
      <c r="H13">
        <v>2</v>
      </c>
    </row>
    <row r="14" spans="1:8" x14ac:dyDescent="0.35">
      <c r="A14" s="1"/>
    </row>
    <row r="16" spans="1:8" s="3" customFormat="1" x14ac:dyDescent="0.35">
      <c r="B16" s="4"/>
      <c r="C16" s="4"/>
      <c r="D16" s="4"/>
      <c r="E16" s="4"/>
      <c r="F16" s="4"/>
      <c r="G16" s="4"/>
      <c r="H16" s="4"/>
    </row>
    <row r="17" spans="1:8" ht="29" x14ac:dyDescent="0.35">
      <c r="A17" s="1" t="s">
        <v>9</v>
      </c>
      <c r="B17" s="2" t="s">
        <v>10</v>
      </c>
      <c r="C17">
        <v>0</v>
      </c>
      <c r="D17">
        <v>0</v>
      </c>
      <c r="E17">
        <v>0</v>
      </c>
    </row>
    <row r="21" spans="1:8" x14ac:dyDescent="0.35">
      <c r="B21" s="2" t="s">
        <v>11</v>
      </c>
      <c r="F21">
        <v>1</v>
      </c>
    </row>
    <row r="22" spans="1:8" x14ac:dyDescent="0.35">
      <c r="B22" s="2" t="s">
        <v>12</v>
      </c>
      <c r="F22">
        <v>1</v>
      </c>
    </row>
    <row r="23" spans="1:8" x14ac:dyDescent="0.35">
      <c r="B23" s="2" t="s">
        <v>13</v>
      </c>
      <c r="G23">
        <v>1</v>
      </c>
    </row>
    <row r="24" spans="1:8" x14ac:dyDescent="0.35">
      <c r="B24" s="2" t="s">
        <v>15</v>
      </c>
      <c r="H24">
        <v>1</v>
      </c>
    </row>
    <row r="25" spans="1:8" x14ac:dyDescent="0.35">
      <c r="B25" s="2" t="s">
        <v>14</v>
      </c>
      <c r="H25">
        <v>1</v>
      </c>
    </row>
  </sheetData>
  <conditionalFormatting sqref="C12">
    <cfRule type="iconSet" priority="34">
      <iconSet iconSet="3Symbols">
        <cfvo type="percent" val="0"/>
        <cfvo type="percent" val="33"/>
        <cfvo type="percent" val="67"/>
      </iconSet>
    </cfRule>
  </conditionalFormatting>
  <conditionalFormatting sqref="C13">
    <cfRule type="iconSet" priority="32">
      <iconSet iconSet="3Symbols">
        <cfvo type="percent" val="0"/>
        <cfvo type="num" val="1"/>
        <cfvo type="num" val="2"/>
      </iconSet>
    </cfRule>
  </conditionalFormatting>
  <conditionalFormatting sqref="C17:C20 C13:C15">
    <cfRule type="iconSet" priority="1099">
      <iconSet iconSet="3Symbols">
        <cfvo type="percent" val="0"/>
        <cfvo type="percent" val="33"/>
        <cfvo type="percent" val="67"/>
      </iconSet>
    </cfRule>
  </conditionalFormatting>
  <conditionalFormatting sqref="C17:H28 C12:H15">
    <cfRule type="iconSet" priority="1129">
      <iconSet iconSet="3Symbols">
        <cfvo type="percent" val="0"/>
        <cfvo type="num" val="1"/>
        <cfvo type="num" val="2"/>
      </iconSet>
    </cfRule>
  </conditionalFormatting>
  <conditionalFormatting sqref="D12">
    <cfRule type="iconSet" priority="30">
      <iconSet iconSet="3Symbols">
        <cfvo type="percent" val="0"/>
        <cfvo type="percent" val="33"/>
        <cfvo type="percent" val="67"/>
      </iconSet>
    </cfRule>
  </conditionalFormatting>
  <conditionalFormatting sqref="D13">
    <cfRule type="iconSet" priority="29">
      <iconSet iconSet="3Symbols">
        <cfvo type="percent" val="0"/>
        <cfvo type="num" val="1"/>
        <cfvo type="num" val="2"/>
      </iconSet>
    </cfRule>
  </conditionalFormatting>
  <conditionalFormatting sqref="D13:D15">
    <cfRule type="iconSet" priority="1090">
      <iconSet iconSet="3Symbols">
        <cfvo type="percent" val="0"/>
        <cfvo type="percent" val="33"/>
        <cfvo type="percent" val="67"/>
      </iconSet>
    </cfRule>
  </conditionalFormatting>
  <conditionalFormatting sqref="D17:D20">
    <cfRule type="iconSet" priority="1118">
      <iconSet iconSet="3Symbols">
        <cfvo type="percent" val="0"/>
        <cfvo type="num" val="1"/>
        <cfvo type="num" val="2"/>
      </iconSet>
    </cfRule>
  </conditionalFormatting>
  <conditionalFormatting sqref="E12">
    <cfRule type="iconSet" priority="25">
      <iconSet iconSet="3Symbols">
        <cfvo type="percent" val="0"/>
        <cfvo type="percent" val="33"/>
        <cfvo type="percent" val="67"/>
      </iconSet>
    </cfRule>
  </conditionalFormatting>
  <conditionalFormatting sqref="E13">
    <cfRule type="iconSet" priority="24">
      <iconSet iconSet="3Symbols">
        <cfvo type="percent" val="0"/>
        <cfvo type="num" val="1"/>
        <cfvo type="num" val="2"/>
      </iconSet>
    </cfRule>
  </conditionalFormatting>
  <conditionalFormatting sqref="E13:E14">
    <cfRule type="iconSet" priority="1092">
      <iconSet iconSet="3Symbols">
        <cfvo type="percent" val="0"/>
        <cfvo type="percent" val="33"/>
        <cfvo type="percent" val="67"/>
      </iconSet>
    </cfRule>
  </conditionalFormatting>
  <conditionalFormatting sqref="E15">
    <cfRule type="iconSet" priority="22">
      <iconSet iconSet="3Symbols">
        <cfvo type="percent" val="0"/>
        <cfvo type="num" val="1"/>
        <cfvo type="num" val="2"/>
      </iconSet>
    </cfRule>
    <cfRule type="iconSet" priority="23">
      <iconSet iconSet="3Symbols">
        <cfvo type="percent" val="0"/>
        <cfvo type="percent" val="33"/>
        <cfvo type="percent" val="67"/>
      </iconSet>
    </cfRule>
  </conditionalFormatting>
  <conditionalFormatting sqref="E17:E20">
    <cfRule type="iconSet" priority="1119">
      <iconSet iconSet="3Symbols">
        <cfvo type="percent" val="0"/>
        <cfvo type="num" val="1"/>
        <cfvo type="num" val="2"/>
      </iconSet>
    </cfRule>
  </conditionalFormatting>
  <conditionalFormatting sqref="E25:I32 I16 H12:I15 F17:I20 E21:E22 G21:I22 E23:F24 H23:I24">
    <cfRule type="iconSet" priority="1342">
      <iconSet>
        <cfvo type="percent" val="0"/>
        <cfvo type="num" val="1"/>
        <cfvo type="num" val="2"/>
      </iconSet>
    </cfRule>
  </conditionalFormatting>
  <conditionalFormatting sqref="F12">
    <cfRule type="iconSet" priority="17">
      <iconSet iconSet="3Symbols">
        <cfvo type="percent" val="0"/>
        <cfvo type="percent" val="33"/>
        <cfvo type="percent" val="67"/>
      </iconSet>
    </cfRule>
  </conditionalFormatting>
  <conditionalFormatting sqref="F13">
    <cfRule type="iconSet" priority="16">
      <iconSet iconSet="3Symbols">
        <cfvo type="percent" val="0"/>
        <cfvo type="num" val="1"/>
        <cfvo type="num" val="2"/>
      </iconSet>
    </cfRule>
  </conditionalFormatting>
  <conditionalFormatting sqref="F13:F14">
    <cfRule type="iconSet" priority="1094">
      <iconSet iconSet="3Symbols">
        <cfvo type="percent" val="0"/>
        <cfvo type="percent" val="33"/>
        <cfvo type="percent" val="67"/>
      </iconSet>
    </cfRule>
  </conditionalFormatting>
  <conditionalFormatting sqref="F15">
    <cfRule type="iconSet" priority="14">
      <iconSet iconSet="3Symbols">
        <cfvo type="percent" val="0"/>
        <cfvo type="num" val="1"/>
        <cfvo type="num" val="2"/>
      </iconSet>
    </cfRule>
    <cfRule type="iconSet" priority="15">
      <iconSet iconSet="3Symbols">
        <cfvo type="percent" val="0"/>
        <cfvo type="percent" val="33"/>
        <cfvo type="percent" val="67"/>
      </iconSet>
    </cfRule>
  </conditionalFormatting>
  <conditionalFormatting sqref="F21:F22">
    <cfRule type="iconSet" priority="12">
      <iconSet iconSet="3Symbols">
        <cfvo type="percent" val="0"/>
        <cfvo type="num" val="1"/>
        <cfvo type="num" val="2"/>
      </iconSet>
    </cfRule>
  </conditionalFormatting>
  <conditionalFormatting sqref="G12">
    <cfRule type="iconSet" priority="10">
      <iconSet iconSet="3Symbols">
        <cfvo type="percent" val="0"/>
        <cfvo type="percent" val="33"/>
        <cfvo type="percent" val="67"/>
      </iconSet>
    </cfRule>
  </conditionalFormatting>
  <conditionalFormatting sqref="G13">
    <cfRule type="iconSet" priority="9">
      <iconSet iconSet="3Symbols">
        <cfvo type="percent" val="0"/>
        <cfvo type="num" val="1"/>
        <cfvo type="num" val="2"/>
      </iconSet>
    </cfRule>
  </conditionalFormatting>
  <conditionalFormatting sqref="G13:G14">
    <cfRule type="iconSet" priority="1096">
      <iconSet iconSet="3Symbols">
        <cfvo type="percent" val="0"/>
        <cfvo type="percent" val="33"/>
        <cfvo type="percent" val="67"/>
      </iconSet>
    </cfRule>
  </conditionalFormatting>
  <conditionalFormatting sqref="G15">
    <cfRule type="iconSet" priority="7">
      <iconSet iconSet="3Symbols">
        <cfvo type="percent" val="0"/>
        <cfvo type="num" val="1"/>
        <cfvo type="num" val="2"/>
      </iconSet>
    </cfRule>
    <cfRule type="iconSet" priority="8">
      <iconSet iconSet="3Symbols">
        <cfvo type="percent" val="0"/>
        <cfvo type="percent" val="33"/>
        <cfvo type="percent" val="67"/>
      </iconSet>
    </cfRule>
  </conditionalFormatting>
  <conditionalFormatting sqref="H12">
    <cfRule type="iconSet" priority="4">
      <iconSet iconSet="3Symbols">
        <cfvo type="percent" val="0"/>
        <cfvo type="percent" val="33"/>
        <cfvo type="percent" val="67"/>
      </iconSet>
    </cfRule>
  </conditionalFormatting>
  <conditionalFormatting sqref="H13">
    <cfRule type="iconSet" priority="3">
      <iconSet iconSet="3Symbols">
        <cfvo type="percent" val="0"/>
        <cfvo type="num" val="1"/>
        <cfvo type="num" val="2"/>
      </iconSet>
    </cfRule>
  </conditionalFormatting>
  <conditionalFormatting sqref="H13:H14">
    <cfRule type="iconSet" priority="1098">
      <iconSet iconSet="3Symbols">
        <cfvo type="percent" val="0"/>
        <cfvo type="percent" val="33"/>
        <cfvo type="percent" val="67"/>
      </iconSet>
    </cfRule>
  </conditionalFormatting>
  <conditionalFormatting sqref="H15">
    <cfRule type="iconSet" priority="1">
      <iconSet iconSet="3Symbols">
        <cfvo type="percent" val="0"/>
        <cfvo type="num" val="1"/>
        <cfvo type="num" val="2"/>
      </iconSet>
    </cfRule>
    <cfRule type="iconSet" priority="2">
      <iconSet iconSet="3Symbols">
        <cfvo type="percent" val="0"/>
        <cfvo type="percent" val="33"/>
        <cfvo type="percent" val="67"/>
      </iconSet>
    </cfRule>
  </conditionalFormatting>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A0D0-2E2C-4702-9D7C-09A8D0E0367E}">
  <dimension ref="A1:I33"/>
  <sheetViews>
    <sheetView zoomScale="81" workbookViewId="0">
      <selection activeCell="C9" sqref="C9"/>
    </sheetView>
  </sheetViews>
  <sheetFormatPr defaultRowHeight="14.5" x14ac:dyDescent="0.35"/>
  <cols>
    <col min="1" max="1" width="28" customWidth="1"/>
    <col min="2" max="2" width="28.81640625" style="2" customWidth="1"/>
    <col min="3" max="8" width="15.453125" customWidth="1"/>
  </cols>
  <sheetData>
    <row r="1" spans="1:8" x14ac:dyDescent="0.35">
      <c r="A1" s="1" t="s">
        <v>69</v>
      </c>
      <c r="C1">
        <f xml:space="preserve"> SUM(C5:C6) / (C5+ C6+ C9) * 100</f>
        <v>100</v>
      </c>
      <c r="D1">
        <f t="shared" ref="D1:H1" si="0" xml:space="preserve"> SUM(D5:D6) / (D5+ D6+ D9) * 100</f>
        <v>50</v>
      </c>
      <c r="E1">
        <f t="shared" si="0"/>
        <v>100</v>
      </c>
      <c r="F1">
        <f t="shared" si="0"/>
        <v>50</v>
      </c>
      <c r="G1">
        <f t="shared" si="0"/>
        <v>50</v>
      </c>
      <c r="H1">
        <f t="shared" si="0"/>
        <v>100</v>
      </c>
    </row>
    <row r="2" spans="1:8" x14ac:dyDescent="0.35">
      <c r="A2" s="1" t="s">
        <v>68</v>
      </c>
      <c r="C2">
        <f xml:space="preserve"> SUM(C5:C6) / SUM(C5:C7) *100</f>
        <v>100</v>
      </c>
      <c r="D2">
        <f t="shared" ref="D2:H2" si="1" xml:space="preserve"> SUM(D5:D6) / SUM(D5:D7) *100</f>
        <v>100</v>
      </c>
      <c r="E2">
        <f t="shared" si="1"/>
        <v>100</v>
      </c>
      <c r="F2">
        <f t="shared" si="1"/>
        <v>100</v>
      </c>
      <c r="G2">
        <f t="shared" si="1"/>
        <v>100</v>
      </c>
      <c r="H2">
        <f t="shared" si="1"/>
        <v>100</v>
      </c>
    </row>
    <row r="3" spans="1:8" x14ac:dyDescent="0.35">
      <c r="A3" s="1" t="s">
        <v>126</v>
      </c>
      <c r="C3">
        <f xml:space="preserve"> C5/ (C5+ C8) * 100</f>
        <v>66.666666666666657</v>
      </c>
      <c r="D3">
        <f t="shared" ref="D3:H3" si="2" xml:space="preserve"> D5/ (D5+ D8) * 100</f>
        <v>50</v>
      </c>
      <c r="E3">
        <f t="shared" si="2"/>
        <v>66.666666666666657</v>
      </c>
      <c r="F3">
        <f t="shared" si="2"/>
        <v>50</v>
      </c>
      <c r="G3">
        <f t="shared" si="2"/>
        <v>50</v>
      </c>
      <c r="H3">
        <f t="shared" si="2"/>
        <v>100</v>
      </c>
    </row>
    <row r="4" spans="1:8" x14ac:dyDescent="0.35">
      <c r="A4" s="1" t="s">
        <v>127</v>
      </c>
      <c r="C4">
        <f xml:space="preserve"> C5 / (C5+C7) *100</f>
        <v>100</v>
      </c>
      <c r="D4">
        <f t="shared" ref="D4:H4" si="3" xml:space="preserve"> D5 / (D5+D7) *100</f>
        <v>100</v>
      </c>
      <c r="E4">
        <f t="shared" si="3"/>
        <v>100</v>
      </c>
      <c r="F4">
        <f t="shared" si="3"/>
        <v>100</v>
      </c>
      <c r="G4">
        <f t="shared" si="3"/>
        <v>100</v>
      </c>
      <c r="H4">
        <f t="shared" si="3"/>
        <v>100</v>
      </c>
    </row>
    <row r="5" spans="1:8" x14ac:dyDescent="0.35">
      <c r="A5" s="1" t="s">
        <v>46</v>
      </c>
      <c r="C5" s="2">
        <f t="shared" ref="C5:H5" si="4">COUNTIF(C12:C16, 2)</f>
        <v>2</v>
      </c>
      <c r="D5" s="2">
        <f t="shared" si="4"/>
        <v>2</v>
      </c>
      <c r="E5" s="2">
        <f t="shared" si="4"/>
        <v>2</v>
      </c>
      <c r="F5" s="2">
        <f t="shared" si="4"/>
        <v>2</v>
      </c>
      <c r="G5" s="2">
        <f t="shared" si="4"/>
        <v>2</v>
      </c>
      <c r="H5" s="2">
        <f t="shared" si="4"/>
        <v>2</v>
      </c>
    </row>
    <row r="6" spans="1:8" x14ac:dyDescent="0.35">
      <c r="A6" s="1" t="s">
        <v>47</v>
      </c>
      <c r="C6">
        <f t="shared" ref="C6:H6" si="5">COUNTIF(C12:C16, 1)</f>
        <v>0</v>
      </c>
      <c r="D6">
        <f t="shared" si="5"/>
        <v>0</v>
      </c>
      <c r="E6">
        <f t="shared" si="5"/>
        <v>0</v>
      </c>
      <c r="F6">
        <f t="shared" si="5"/>
        <v>0</v>
      </c>
      <c r="G6">
        <f t="shared" si="5"/>
        <v>0</v>
      </c>
      <c r="H6">
        <f t="shared" si="5"/>
        <v>0</v>
      </c>
    </row>
    <row r="7" spans="1:8" x14ac:dyDescent="0.35">
      <c r="A7" s="1" t="s">
        <v>48</v>
      </c>
      <c r="C7">
        <f t="shared" ref="C7:H7" si="6">COUNTIF(C12:C16, 0)</f>
        <v>0</v>
      </c>
      <c r="D7">
        <f t="shared" si="6"/>
        <v>0</v>
      </c>
      <c r="E7">
        <f t="shared" si="6"/>
        <v>0</v>
      </c>
      <c r="F7">
        <f t="shared" si="6"/>
        <v>0</v>
      </c>
      <c r="G7">
        <f t="shared" si="6"/>
        <v>0</v>
      </c>
      <c r="H7">
        <f t="shared" si="6"/>
        <v>0</v>
      </c>
    </row>
    <row r="8" spans="1:8" x14ac:dyDescent="0.35">
      <c r="A8" s="1" t="s">
        <v>49</v>
      </c>
      <c r="C8">
        <f t="shared" ref="C8:H8" si="7">COUNTIF(C18:C35,0) + COUNTIF(C18:C35,1)</f>
        <v>1</v>
      </c>
      <c r="D8">
        <f t="shared" si="7"/>
        <v>2</v>
      </c>
      <c r="E8">
        <f t="shared" si="7"/>
        <v>1</v>
      </c>
      <c r="F8">
        <f t="shared" si="7"/>
        <v>2</v>
      </c>
      <c r="G8">
        <f t="shared" si="7"/>
        <v>2</v>
      </c>
      <c r="H8">
        <f t="shared" si="7"/>
        <v>0</v>
      </c>
    </row>
    <row r="9" spans="1:8" x14ac:dyDescent="0.35">
      <c r="A9" s="1" t="s">
        <v>50</v>
      </c>
      <c r="C9">
        <f>COUNTIF(C18:C35,0)</f>
        <v>0</v>
      </c>
      <c r="D9">
        <f t="shared" ref="D9:H9" si="8">COUNTIF(D18:D35,0)</f>
        <v>2</v>
      </c>
      <c r="E9">
        <f t="shared" si="8"/>
        <v>0</v>
      </c>
      <c r="F9">
        <f t="shared" si="8"/>
        <v>2</v>
      </c>
      <c r="G9">
        <f t="shared" si="8"/>
        <v>2</v>
      </c>
      <c r="H9">
        <f t="shared" si="8"/>
        <v>0</v>
      </c>
    </row>
    <row r="10" spans="1:8" s="3" customFormat="1" x14ac:dyDescent="0.35"/>
    <row r="11" spans="1:8" s="1" customFormat="1" x14ac:dyDescent="0.35">
      <c r="B11" s="5"/>
      <c r="C11" s="1" t="s">
        <v>3</v>
      </c>
      <c r="D11" s="1" t="s">
        <v>4</v>
      </c>
      <c r="E11" s="1" t="s">
        <v>5</v>
      </c>
      <c r="F11" s="1" t="s">
        <v>6</v>
      </c>
      <c r="G11" s="1" t="s">
        <v>7</v>
      </c>
      <c r="H11" s="1" t="s">
        <v>8</v>
      </c>
    </row>
    <row r="12" spans="1:8" x14ac:dyDescent="0.35">
      <c r="A12" s="1" t="s">
        <v>2</v>
      </c>
      <c r="B12" s="2" t="s">
        <v>16</v>
      </c>
      <c r="C12">
        <v>2</v>
      </c>
      <c r="D12">
        <v>2</v>
      </c>
      <c r="E12">
        <v>2</v>
      </c>
      <c r="F12">
        <v>2</v>
      </c>
      <c r="G12">
        <v>2</v>
      </c>
      <c r="H12">
        <v>2</v>
      </c>
    </row>
    <row r="13" spans="1:8" x14ac:dyDescent="0.35">
      <c r="A13" s="1"/>
      <c r="B13" s="2" t="s">
        <v>17</v>
      </c>
      <c r="C13">
        <v>2</v>
      </c>
      <c r="D13">
        <v>2</v>
      </c>
      <c r="E13">
        <v>2</v>
      </c>
      <c r="F13">
        <v>2</v>
      </c>
      <c r="G13">
        <v>2</v>
      </c>
      <c r="H13">
        <v>2</v>
      </c>
    </row>
    <row r="14" spans="1:8" x14ac:dyDescent="0.35">
      <c r="A14" s="1"/>
      <c r="B14"/>
    </row>
    <row r="15" spans="1:8" x14ac:dyDescent="0.35">
      <c r="A15" s="1"/>
      <c r="B15"/>
    </row>
    <row r="16" spans="1:8" x14ac:dyDescent="0.35">
      <c r="B16"/>
    </row>
    <row r="17" spans="1:9" s="3" customFormat="1" x14ac:dyDescent="0.35">
      <c r="B17" s="4"/>
      <c r="F17" s="4"/>
      <c r="G17" s="4"/>
      <c r="H17" s="4"/>
      <c r="I17" s="4"/>
    </row>
    <row r="18" spans="1:9" x14ac:dyDescent="0.35">
      <c r="A18" s="1" t="s">
        <v>9</v>
      </c>
      <c r="B18" t="s">
        <v>18</v>
      </c>
      <c r="D18">
        <v>0</v>
      </c>
      <c r="F18">
        <v>0</v>
      </c>
      <c r="G18">
        <v>0</v>
      </c>
    </row>
    <row r="19" spans="1:9" x14ac:dyDescent="0.35">
      <c r="B19" t="s">
        <v>19</v>
      </c>
      <c r="D19">
        <v>0</v>
      </c>
      <c r="F19">
        <v>0</v>
      </c>
      <c r="G19">
        <v>0</v>
      </c>
    </row>
    <row r="20" spans="1:9" x14ac:dyDescent="0.35">
      <c r="B20"/>
    </row>
    <row r="21" spans="1:9" x14ac:dyDescent="0.35">
      <c r="B21" s="2" t="s">
        <v>20</v>
      </c>
      <c r="C21">
        <v>1</v>
      </c>
      <c r="E21">
        <v>1</v>
      </c>
    </row>
    <row r="22" spans="1:9" x14ac:dyDescent="0.35">
      <c r="B22"/>
    </row>
    <row r="23" spans="1:9" x14ac:dyDescent="0.35">
      <c r="B23"/>
    </row>
    <row r="24" spans="1:9" x14ac:dyDescent="0.35">
      <c r="B24"/>
    </row>
    <row r="25" spans="1:9" x14ac:dyDescent="0.35">
      <c r="B25"/>
    </row>
    <row r="26" spans="1:9" x14ac:dyDescent="0.35">
      <c r="B26"/>
    </row>
    <row r="27" spans="1:9" x14ac:dyDescent="0.35">
      <c r="B27"/>
    </row>
    <row r="28" spans="1:9" x14ac:dyDescent="0.35">
      <c r="B28"/>
    </row>
    <row r="29" spans="1:9" x14ac:dyDescent="0.35">
      <c r="B29"/>
    </row>
    <row r="30" spans="1:9" x14ac:dyDescent="0.35">
      <c r="B30"/>
    </row>
    <row r="31" spans="1:9" x14ac:dyDescent="0.35">
      <c r="B31"/>
    </row>
    <row r="32" spans="1:9" x14ac:dyDescent="0.35">
      <c r="B32"/>
    </row>
    <row r="33" spans="2:2" x14ac:dyDescent="0.35">
      <c r="B33"/>
    </row>
  </sheetData>
  <conditionalFormatting sqref="C12:C16">
    <cfRule type="iconSet" priority="1130">
      <iconSet iconSet="3Symbols">
        <cfvo type="percent" val="0"/>
        <cfvo type="percent" val="33"/>
        <cfvo type="percent" val="67"/>
      </iconSet>
    </cfRule>
    <cfRule type="iconSet" priority="1131">
      <iconSet iconSet="3Symbols">
        <cfvo type="percent" val="0"/>
        <cfvo type="num" val="1"/>
        <cfvo type="num" val="2"/>
      </iconSet>
    </cfRule>
  </conditionalFormatting>
  <conditionalFormatting sqref="C18:E21">
    <cfRule type="iconSet" priority="1152">
      <iconSet iconSet="3Symbols">
        <cfvo type="percent" val="0"/>
        <cfvo type="num" val="1"/>
        <cfvo type="num" val="2"/>
      </iconSet>
    </cfRule>
    <cfRule type="iconSet" priority="1153">
      <iconSet iconSet="3Symbols">
        <cfvo type="percent" val="0"/>
        <cfvo type="percent" val="33"/>
        <cfvo type="percent" val="67"/>
      </iconSet>
    </cfRule>
  </conditionalFormatting>
  <conditionalFormatting sqref="C22:H36 F18:H21">
    <cfRule type="iconSet" priority="1154">
      <iconSet iconSet="3Symbols">
        <cfvo type="percent" val="0"/>
        <cfvo type="num" val="1"/>
        <cfvo type="num" val="2"/>
      </iconSet>
    </cfRule>
    <cfRule type="iconSet" priority="1155">
      <iconSet iconSet="3Symbols">
        <cfvo type="percent" val="0"/>
        <cfvo type="percent" val="33"/>
        <cfvo type="percent" val="67"/>
      </iconSet>
    </cfRule>
  </conditionalFormatting>
  <conditionalFormatting sqref="D12:D16">
    <cfRule type="iconSet" priority="1136">
      <iconSet iconSet="3Symbols">
        <cfvo type="percent" val="0"/>
        <cfvo type="percent" val="33"/>
        <cfvo type="percent" val="67"/>
      </iconSet>
    </cfRule>
    <cfRule type="iconSet" priority="1137">
      <iconSet iconSet="3Symbols">
        <cfvo type="percent" val="0"/>
        <cfvo type="num" val="1"/>
        <cfvo type="num" val="2"/>
      </iconSet>
    </cfRule>
  </conditionalFormatting>
  <conditionalFormatting sqref="E12:E16">
    <cfRule type="iconSet" priority="1140">
      <iconSet iconSet="3Symbols">
        <cfvo type="percent" val="0"/>
        <cfvo type="percent" val="33"/>
        <cfvo type="percent" val="67"/>
      </iconSet>
    </cfRule>
    <cfRule type="iconSet" priority="1141">
      <iconSet iconSet="3Symbols">
        <cfvo type="percent" val="0"/>
        <cfvo type="num" val="1"/>
        <cfvo type="num" val="2"/>
      </iconSet>
    </cfRule>
  </conditionalFormatting>
  <conditionalFormatting sqref="E37:I40 I12:I16 I18:I36">
    <cfRule type="iconSet" priority="1343">
      <iconSet>
        <cfvo type="percent" val="0"/>
        <cfvo type="num" val="1"/>
        <cfvo type="num" val="2"/>
      </iconSet>
    </cfRule>
  </conditionalFormatting>
  <conditionalFormatting sqref="F15:G16">
    <cfRule type="iconSet" priority="9">
      <iconSet iconSet="3Symbols">
        <cfvo type="percent" val="0"/>
        <cfvo type="num" val="1"/>
        <cfvo type="num" val="2"/>
      </iconSet>
    </cfRule>
    <cfRule type="iconSet" priority="10">
      <iconSet iconSet="3Symbols">
        <cfvo type="percent" val="0"/>
        <cfvo type="percent" val="33"/>
        <cfvo type="percent" val="67"/>
      </iconSet>
    </cfRule>
  </conditionalFormatting>
  <conditionalFormatting sqref="H15:H16 F12:H14">
    <cfRule type="iconSet" priority="73">
      <iconSet iconSet="3Symbols">
        <cfvo type="percent" val="0"/>
        <cfvo type="percent" val="33"/>
        <cfvo type="percent" val="67"/>
      </iconSet>
    </cfRule>
    <cfRule type="iconSet" priority="74">
      <iconSet iconSet="3Symbols">
        <cfvo type="percent" val="0"/>
        <cfvo type="num" val="1"/>
        <cfvo type="num" val="2"/>
      </iconSet>
    </cfRule>
  </conditionalFormatting>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26383-C7D9-4029-9ECD-2AFBC5139DBB}">
  <dimension ref="A1:I62"/>
  <sheetViews>
    <sheetView zoomScale="83" zoomScaleNormal="83" workbookViewId="0">
      <selection sqref="A1:XFD4"/>
    </sheetView>
  </sheetViews>
  <sheetFormatPr defaultRowHeight="14.5" x14ac:dyDescent="0.35"/>
  <cols>
    <col min="1" max="1" width="28" customWidth="1"/>
    <col min="2" max="2" width="35.453125" style="2" customWidth="1"/>
    <col min="3" max="8" width="15.453125" customWidth="1"/>
  </cols>
  <sheetData>
    <row r="1" spans="1:9" x14ac:dyDescent="0.35">
      <c r="A1" s="1" t="s">
        <v>69</v>
      </c>
      <c r="C1">
        <f xml:space="preserve"> SUM(C5:C6) / (C5+ C6+ C9) * 100</f>
        <v>0</v>
      </c>
      <c r="D1">
        <f t="shared" ref="D1:H1" si="0" xml:space="preserve"> SUM(D5:D6) / (D5+ D6+ D9) * 100</f>
        <v>0</v>
      </c>
      <c r="E1">
        <f t="shared" si="0"/>
        <v>0</v>
      </c>
      <c r="F1">
        <f t="shared" si="0"/>
        <v>0</v>
      </c>
      <c r="G1">
        <f t="shared" si="0"/>
        <v>0</v>
      </c>
      <c r="H1">
        <f t="shared" si="0"/>
        <v>0</v>
      </c>
    </row>
    <row r="2" spans="1:9" x14ac:dyDescent="0.35">
      <c r="A2" s="1" t="s">
        <v>68</v>
      </c>
      <c r="C2">
        <f>IF(SUM(C5:C7)=0, 0, SUM(C5:C6)/SUM(C5:C7)*100)</f>
        <v>0</v>
      </c>
      <c r="D2">
        <f t="shared" ref="D2:H2" si="1">IF(SUM(D5:D7)=0, 0, SUM(D5:D6)/SUM(D5:D7)*100)</f>
        <v>0</v>
      </c>
      <c r="E2">
        <f t="shared" si="1"/>
        <v>0</v>
      </c>
      <c r="F2">
        <f t="shared" si="1"/>
        <v>0</v>
      </c>
      <c r="G2">
        <f t="shared" si="1"/>
        <v>0</v>
      </c>
      <c r="H2">
        <f t="shared" si="1"/>
        <v>0</v>
      </c>
    </row>
    <row r="3" spans="1:9" x14ac:dyDescent="0.35">
      <c r="A3" s="1" t="s">
        <v>126</v>
      </c>
      <c r="C3">
        <f xml:space="preserve"> C5/ (C5+ C8) * 100</f>
        <v>0</v>
      </c>
      <c r="D3">
        <f t="shared" ref="D3:H3" si="2" xml:space="preserve"> D5/ (D5+ D8) * 100</f>
        <v>0</v>
      </c>
      <c r="E3">
        <f t="shared" si="2"/>
        <v>0</v>
      </c>
      <c r="F3">
        <f t="shared" si="2"/>
        <v>0</v>
      </c>
      <c r="G3">
        <f t="shared" si="2"/>
        <v>0</v>
      </c>
      <c r="H3">
        <f t="shared" si="2"/>
        <v>0</v>
      </c>
    </row>
    <row r="4" spans="1:9" x14ac:dyDescent="0.35">
      <c r="A4" s="1" t="s">
        <v>127</v>
      </c>
      <c r="C4">
        <f>IF(C5 + C7 = 0, 0, C5 / (C5 + C7) * 100)</f>
        <v>0</v>
      </c>
      <c r="D4">
        <f t="shared" ref="D4:H4" si="3">IF(D5 + D7 = 0, 0, D5 / (D5 + D7) * 100)</f>
        <v>0</v>
      </c>
      <c r="E4">
        <f t="shared" si="3"/>
        <v>0</v>
      </c>
      <c r="F4">
        <f t="shared" si="3"/>
        <v>0</v>
      </c>
      <c r="G4">
        <f t="shared" si="3"/>
        <v>0</v>
      </c>
      <c r="H4">
        <f t="shared" si="3"/>
        <v>0</v>
      </c>
    </row>
    <row r="5" spans="1:9" x14ac:dyDescent="0.35">
      <c r="A5" s="1" t="s">
        <v>46</v>
      </c>
      <c r="C5" s="2">
        <f t="shared" ref="C5:H5" si="4">COUNTIF(C12:C13, 2)</f>
        <v>0</v>
      </c>
      <c r="D5" s="2">
        <f t="shared" si="4"/>
        <v>0</v>
      </c>
      <c r="E5" s="2">
        <f t="shared" si="4"/>
        <v>0</v>
      </c>
      <c r="F5" s="2">
        <f t="shared" si="4"/>
        <v>0</v>
      </c>
      <c r="G5" s="2">
        <f t="shared" si="4"/>
        <v>0</v>
      </c>
      <c r="H5" s="2">
        <f t="shared" si="4"/>
        <v>0</v>
      </c>
    </row>
    <row r="6" spans="1:9" x14ac:dyDescent="0.35">
      <c r="A6" s="1" t="s">
        <v>47</v>
      </c>
      <c r="C6">
        <f t="shared" ref="C6:H6" si="5">COUNTIF(C12:C13, 1)</f>
        <v>0</v>
      </c>
      <c r="D6">
        <f t="shared" si="5"/>
        <v>0</v>
      </c>
      <c r="E6">
        <f t="shared" si="5"/>
        <v>0</v>
      </c>
      <c r="F6">
        <f t="shared" si="5"/>
        <v>0</v>
      </c>
      <c r="G6">
        <f t="shared" si="5"/>
        <v>0</v>
      </c>
      <c r="H6">
        <f t="shared" si="5"/>
        <v>0</v>
      </c>
    </row>
    <row r="7" spans="1:9" x14ac:dyDescent="0.35">
      <c r="A7" s="1" t="s">
        <v>48</v>
      </c>
      <c r="C7">
        <f t="shared" ref="C7:H7" si="6">COUNTIF(C12:C13, 0)</f>
        <v>0</v>
      </c>
      <c r="D7">
        <f t="shared" si="6"/>
        <v>0</v>
      </c>
      <c r="E7">
        <f t="shared" si="6"/>
        <v>0</v>
      </c>
      <c r="F7">
        <f t="shared" si="6"/>
        <v>0</v>
      </c>
      <c r="G7">
        <f t="shared" si="6"/>
        <v>0</v>
      </c>
      <c r="H7">
        <f t="shared" si="6"/>
        <v>0</v>
      </c>
    </row>
    <row r="8" spans="1:9" x14ac:dyDescent="0.35">
      <c r="A8" s="1" t="s">
        <v>49</v>
      </c>
      <c r="C8">
        <f t="shared" ref="C8:H8" si="7">COUNTIF(C15:C48,0) + COUNTIF(C15:C48,1)</f>
        <v>4</v>
      </c>
      <c r="D8">
        <f t="shared" si="7"/>
        <v>5</v>
      </c>
      <c r="E8">
        <f t="shared" si="7"/>
        <v>4</v>
      </c>
      <c r="F8">
        <f t="shared" si="7"/>
        <v>4</v>
      </c>
      <c r="G8">
        <f t="shared" si="7"/>
        <v>4</v>
      </c>
      <c r="H8">
        <f t="shared" si="7"/>
        <v>4</v>
      </c>
    </row>
    <row r="9" spans="1:9" x14ac:dyDescent="0.35">
      <c r="A9" s="1" t="s">
        <v>50</v>
      </c>
      <c r="C9">
        <f>COUNTIF(C15:C48,0)</f>
        <v>2</v>
      </c>
      <c r="D9">
        <f t="shared" ref="D9:H9" si="8">COUNTIF(D15:D48,0)</f>
        <v>3</v>
      </c>
      <c r="E9">
        <f t="shared" si="8"/>
        <v>2</v>
      </c>
      <c r="F9">
        <f t="shared" si="8"/>
        <v>2</v>
      </c>
      <c r="G9">
        <f t="shared" si="8"/>
        <v>2</v>
      </c>
      <c r="H9">
        <f t="shared" si="8"/>
        <v>1</v>
      </c>
    </row>
    <row r="10" spans="1:9" s="3" customFormat="1" x14ac:dyDescent="0.35"/>
    <row r="11" spans="1:9" s="1" customFormat="1" x14ac:dyDescent="0.35">
      <c r="B11" s="5"/>
      <c r="C11" s="1" t="s">
        <v>3</v>
      </c>
      <c r="D11" s="1" t="s">
        <v>4</v>
      </c>
      <c r="E11" s="1" t="s">
        <v>5</v>
      </c>
      <c r="F11" s="1" t="s">
        <v>6</v>
      </c>
      <c r="G11" s="1" t="s">
        <v>7</v>
      </c>
      <c r="H11" s="1" t="s">
        <v>8</v>
      </c>
    </row>
    <row r="12" spans="1:9" x14ac:dyDescent="0.35">
      <c r="A12" s="1"/>
      <c r="B12"/>
    </row>
    <row r="13" spans="1:9" x14ac:dyDescent="0.35">
      <c r="A13" s="1"/>
      <c r="B13"/>
    </row>
    <row r="14" spans="1:9" s="3" customFormat="1" x14ac:dyDescent="0.35">
      <c r="F14" s="4"/>
      <c r="G14" s="4"/>
      <c r="H14" s="4"/>
      <c r="I14" s="4"/>
    </row>
    <row r="15" spans="1:9" x14ac:dyDescent="0.35">
      <c r="A15" s="1" t="s">
        <v>9</v>
      </c>
      <c r="B15" s="2" t="s">
        <v>55</v>
      </c>
      <c r="C15">
        <v>1</v>
      </c>
      <c r="D15">
        <v>1</v>
      </c>
      <c r="E15">
        <v>1</v>
      </c>
      <c r="F15">
        <v>1</v>
      </c>
      <c r="G15">
        <v>1</v>
      </c>
      <c r="H15">
        <v>1</v>
      </c>
    </row>
    <row r="16" spans="1:9" x14ac:dyDescent="0.35">
      <c r="A16" s="1"/>
      <c r="B16" s="2" t="s">
        <v>59</v>
      </c>
      <c r="C16">
        <v>1</v>
      </c>
      <c r="D16">
        <v>1</v>
      </c>
      <c r="E16">
        <v>1</v>
      </c>
      <c r="F16">
        <v>1</v>
      </c>
      <c r="G16">
        <v>1</v>
      </c>
      <c r="H16">
        <v>1</v>
      </c>
    </row>
    <row r="17" spans="2:8" x14ac:dyDescent="0.35">
      <c r="B17" s="2" t="s">
        <v>56</v>
      </c>
      <c r="C17">
        <v>0</v>
      </c>
      <c r="D17">
        <v>0</v>
      </c>
      <c r="E17">
        <v>0</v>
      </c>
      <c r="F17">
        <v>0</v>
      </c>
      <c r="G17">
        <v>0</v>
      </c>
      <c r="H17">
        <v>0</v>
      </c>
    </row>
    <row r="18" spans="2:8" x14ac:dyDescent="0.35">
      <c r="B18" s="2" t="s">
        <v>57</v>
      </c>
      <c r="C18">
        <v>0</v>
      </c>
      <c r="D18">
        <v>0</v>
      </c>
      <c r="F18">
        <v>0</v>
      </c>
    </row>
    <row r="19" spans="2:8" x14ac:dyDescent="0.35">
      <c r="B19" s="2" t="s">
        <v>58</v>
      </c>
      <c r="D19">
        <v>0</v>
      </c>
      <c r="E19">
        <v>0</v>
      </c>
    </row>
    <row r="20" spans="2:8" x14ac:dyDescent="0.35">
      <c r="B20" s="2" t="s">
        <v>60</v>
      </c>
      <c r="G20">
        <v>0</v>
      </c>
    </row>
    <row r="21" spans="2:8" x14ac:dyDescent="0.35">
      <c r="B21" s="2" t="s">
        <v>12</v>
      </c>
      <c r="H21">
        <v>1</v>
      </c>
    </row>
    <row r="49" spans="2:2" x14ac:dyDescent="0.35">
      <c r="B49" s="6"/>
    </row>
    <row r="55" spans="2:2" ht="15.5" x14ac:dyDescent="0.35">
      <c r="B55" s="8"/>
    </row>
    <row r="56" spans="2:2" ht="15.5" x14ac:dyDescent="0.35">
      <c r="B56" s="9"/>
    </row>
    <row r="57" spans="2:2" ht="15.5" x14ac:dyDescent="0.35">
      <c r="B57" s="8"/>
    </row>
    <row r="58" spans="2:2" ht="15.5" x14ac:dyDescent="0.35">
      <c r="B58" s="8"/>
    </row>
    <row r="59" spans="2:2" ht="15.5" x14ac:dyDescent="0.35">
      <c r="B59" s="9"/>
    </row>
    <row r="60" spans="2:2" ht="15.5" x14ac:dyDescent="0.35">
      <c r="B60" s="9"/>
    </row>
    <row r="61" spans="2:2" ht="15.5" x14ac:dyDescent="0.35">
      <c r="B61" s="8"/>
    </row>
    <row r="62" spans="2:2" x14ac:dyDescent="0.35">
      <c r="B62" s="6"/>
    </row>
  </sheetData>
  <conditionalFormatting sqref="C35:I41 C34:F34 H34:I34 G42 H43:H48 C12:I33">
    <cfRule type="iconSet" priority="3">
      <iconSet iconSet="3Symbols">
        <cfvo type="percent" val="0"/>
        <cfvo type="num" val="1"/>
        <cfvo type="num" val="2"/>
      </iconSet>
    </cfRule>
  </conditionalFormatting>
  <conditionalFormatting sqref="F35:I35 F17:I33 F34 H34:I34">
    <cfRule type="iconSet" priority="2">
      <iconSet iconSet="3Symbols">
        <cfvo type="percent" val="0"/>
        <cfvo type="num" val="1"/>
        <cfvo type="num" val="2"/>
      </iconSet>
    </cfRule>
  </conditionalFormatting>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FC152-D915-47A2-8823-F6F8E0E3A90B}">
  <dimension ref="A1:I36"/>
  <sheetViews>
    <sheetView zoomScale="83" workbookViewId="0">
      <selection activeCell="A37" sqref="A37:XFD37"/>
    </sheetView>
  </sheetViews>
  <sheetFormatPr defaultRowHeight="14.5" x14ac:dyDescent="0.35"/>
  <cols>
    <col min="1" max="1" width="28" customWidth="1"/>
    <col min="2" max="2" width="35.453125" style="2" customWidth="1"/>
    <col min="3" max="8" width="15.453125" customWidth="1"/>
  </cols>
  <sheetData>
    <row r="1" spans="1:9" x14ac:dyDescent="0.35">
      <c r="A1" s="1" t="s">
        <v>69</v>
      </c>
      <c r="C1">
        <f xml:space="preserve"> SUM(C5:C6) / (C5+ C6+ C9) * 100</f>
        <v>0</v>
      </c>
      <c r="D1" t="e">
        <f t="shared" ref="D1:H1" si="0" xml:space="preserve"> SUM(D5:D6) / (D5+ D6+ D9) * 100</f>
        <v>#DIV/0!</v>
      </c>
      <c r="E1" t="e">
        <f t="shared" si="0"/>
        <v>#DIV/0!</v>
      </c>
      <c r="F1">
        <f t="shared" si="0"/>
        <v>0</v>
      </c>
      <c r="G1" t="e">
        <f t="shared" si="0"/>
        <v>#DIV/0!</v>
      </c>
      <c r="H1" t="e">
        <f t="shared" si="0"/>
        <v>#DIV/0!</v>
      </c>
    </row>
    <row r="2" spans="1:9" x14ac:dyDescent="0.35">
      <c r="A2" s="1" t="s">
        <v>68</v>
      </c>
      <c r="C2">
        <f>IF(SUM(C5:C7)=0, 0, SUM(C5:C6)/SUM(C5:C7)*100)</f>
        <v>0</v>
      </c>
      <c r="D2">
        <f t="shared" ref="D2:H2" si="1">IF(SUM(D5:D7)=0, 0, SUM(D5:D6)/SUM(D5:D7)*100)</f>
        <v>0</v>
      </c>
      <c r="E2">
        <f t="shared" si="1"/>
        <v>0</v>
      </c>
      <c r="F2">
        <f t="shared" si="1"/>
        <v>0</v>
      </c>
      <c r="G2">
        <f t="shared" si="1"/>
        <v>0</v>
      </c>
      <c r="H2">
        <f t="shared" si="1"/>
        <v>0</v>
      </c>
    </row>
    <row r="3" spans="1:9" x14ac:dyDescent="0.35">
      <c r="A3" s="1" t="s">
        <v>126</v>
      </c>
      <c r="C3">
        <f xml:space="preserve"> C5/ (C5+ C8) * 100</f>
        <v>0</v>
      </c>
      <c r="D3">
        <f t="shared" ref="D3:H3" si="2" xml:space="preserve"> D5/ (D5+ D8) * 100</f>
        <v>0</v>
      </c>
      <c r="E3">
        <f t="shared" si="2"/>
        <v>0</v>
      </c>
      <c r="F3">
        <f t="shared" si="2"/>
        <v>0</v>
      </c>
      <c r="G3">
        <f t="shared" si="2"/>
        <v>0</v>
      </c>
      <c r="H3">
        <f t="shared" si="2"/>
        <v>0</v>
      </c>
    </row>
    <row r="4" spans="1:9" x14ac:dyDescent="0.35">
      <c r="A4" s="1" t="s">
        <v>127</v>
      </c>
      <c r="C4">
        <f>IF(C5 + C7 = 0, 0, C5 / (C5 + C7) * 100)</f>
        <v>0</v>
      </c>
      <c r="D4">
        <f t="shared" ref="D4:H4" si="3">IF(D5 + D7 = 0, 0, D5 / (D5 + D7) * 100)</f>
        <v>0</v>
      </c>
      <c r="E4">
        <f t="shared" si="3"/>
        <v>0</v>
      </c>
      <c r="F4">
        <f t="shared" si="3"/>
        <v>0</v>
      </c>
      <c r="G4">
        <f t="shared" si="3"/>
        <v>0</v>
      </c>
      <c r="H4">
        <f t="shared" si="3"/>
        <v>0</v>
      </c>
    </row>
    <row r="5" spans="1:9" x14ac:dyDescent="0.35">
      <c r="A5" s="1" t="s">
        <v>46</v>
      </c>
      <c r="C5" s="2">
        <f t="shared" ref="C5:H5" si="4">COUNTIF(C12:C15, 2)</f>
        <v>0</v>
      </c>
      <c r="D5" s="2">
        <f t="shared" si="4"/>
        <v>0</v>
      </c>
      <c r="E5" s="2">
        <f t="shared" si="4"/>
        <v>0</v>
      </c>
      <c r="F5" s="2">
        <f t="shared" si="4"/>
        <v>0</v>
      </c>
      <c r="G5" s="2">
        <f t="shared" si="4"/>
        <v>0</v>
      </c>
      <c r="H5" s="2">
        <f t="shared" si="4"/>
        <v>0</v>
      </c>
    </row>
    <row r="6" spans="1:9" x14ac:dyDescent="0.35">
      <c r="A6" s="1" t="s">
        <v>47</v>
      </c>
      <c r="C6">
        <f t="shared" ref="C6:H6" si="5">COUNTIF(C12:C15, 1)</f>
        <v>0</v>
      </c>
      <c r="D6">
        <f t="shared" si="5"/>
        <v>0</v>
      </c>
      <c r="E6">
        <f t="shared" si="5"/>
        <v>0</v>
      </c>
      <c r="F6">
        <f t="shared" si="5"/>
        <v>0</v>
      </c>
      <c r="G6">
        <f t="shared" si="5"/>
        <v>0</v>
      </c>
      <c r="H6">
        <f t="shared" si="5"/>
        <v>0</v>
      </c>
    </row>
    <row r="7" spans="1:9" x14ac:dyDescent="0.35">
      <c r="A7" s="1" t="s">
        <v>48</v>
      </c>
      <c r="C7">
        <f t="shared" ref="C7:H7" si="6">COUNTIF(C12:C15, 0)</f>
        <v>0</v>
      </c>
      <c r="D7">
        <f t="shared" si="6"/>
        <v>0</v>
      </c>
      <c r="E7">
        <f t="shared" si="6"/>
        <v>0</v>
      </c>
      <c r="F7">
        <f t="shared" si="6"/>
        <v>0</v>
      </c>
      <c r="G7">
        <f t="shared" si="6"/>
        <v>0</v>
      </c>
      <c r="H7">
        <f t="shared" si="6"/>
        <v>0</v>
      </c>
    </row>
    <row r="8" spans="1:9" x14ac:dyDescent="0.35">
      <c r="A8" s="1" t="s">
        <v>49</v>
      </c>
      <c r="C8">
        <f t="shared" ref="C8:H8" si="7">COUNTIF(C17:C37,0) + COUNTIF(C17:C37,1)</f>
        <v>2</v>
      </c>
      <c r="D8">
        <f t="shared" si="7"/>
        <v>1</v>
      </c>
      <c r="E8">
        <f t="shared" si="7"/>
        <v>3</v>
      </c>
      <c r="F8">
        <f t="shared" si="7"/>
        <v>10</v>
      </c>
      <c r="G8">
        <f t="shared" si="7"/>
        <v>1</v>
      </c>
      <c r="H8">
        <f t="shared" si="7"/>
        <v>4</v>
      </c>
    </row>
    <row r="9" spans="1:9" x14ac:dyDescent="0.35">
      <c r="A9" s="1" t="s">
        <v>50</v>
      </c>
      <c r="C9">
        <f t="shared" ref="C9:H9" si="8">COUNTIF(C17:C37,0)</f>
        <v>2</v>
      </c>
      <c r="D9">
        <f t="shared" si="8"/>
        <v>0</v>
      </c>
      <c r="E9">
        <f t="shared" si="8"/>
        <v>0</v>
      </c>
      <c r="F9">
        <f t="shared" si="8"/>
        <v>7</v>
      </c>
      <c r="G9">
        <f t="shared" si="8"/>
        <v>0</v>
      </c>
      <c r="H9">
        <f t="shared" si="8"/>
        <v>0</v>
      </c>
    </row>
    <row r="10" spans="1:9" s="3" customFormat="1" x14ac:dyDescent="0.35"/>
    <row r="11" spans="1:9" s="1" customFormat="1" x14ac:dyDescent="0.35">
      <c r="B11" s="5"/>
      <c r="C11" s="1" t="s">
        <v>3</v>
      </c>
      <c r="D11" s="1" t="s">
        <v>4</v>
      </c>
      <c r="E11" s="1" t="s">
        <v>5</v>
      </c>
      <c r="F11" s="1" t="s">
        <v>6</v>
      </c>
      <c r="G11" s="1" t="s">
        <v>7</v>
      </c>
      <c r="H11" s="1" t="s">
        <v>8</v>
      </c>
    </row>
    <row r="12" spans="1:9" x14ac:dyDescent="0.35">
      <c r="A12" s="1"/>
    </row>
    <row r="13" spans="1:9" x14ac:dyDescent="0.35">
      <c r="A13" s="1"/>
    </row>
    <row r="14" spans="1:9" x14ac:dyDescent="0.35">
      <c r="A14" s="1"/>
    </row>
    <row r="16" spans="1:9" s="3" customFormat="1" x14ac:dyDescent="0.35">
      <c r="B16" s="4"/>
      <c r="F16" s="4"/>
      <c r="G16" s="4"/>
      <c r="H16" s="4"/>
      <c r="I16" s="4"/>
    </row>
    <row r="17" spans="1:8" x14ac:dyDescent="0.35">
      <c r="A17" s="1" t="s">
        <v>9</v>
      </c>
    </row>
    <row r="18" spans="1:8" x14ac:dyDescent="0.35">
      <c r="B18" s="2" t="s">
        <v>21</v>
      </c>
      <c r="C18">
        <v>0</v>
      </c>
      <c r="F18">
        <v>0</v>
      </c>
    </row>
    <row r="19" spans="1:8" x14ac:dyDescent="0.35">
      <c r="B19" s="2" t="s">
        <v>22</v>
      </c>
      <c r="C19">
        <v>0</v>
      </c>
      <c r="F19">
        <v>0</v>
      </c>
    </row>
    <row r="20" spans="1:8" x14ac:dyDescent="0.35">
      <c r="B20" s="2" t="s">
        <v>23</v>
      </c>
      <c r="D20">
        <v>1</v>
      </c>
      <c r="E20">
        <v>1</v>
      </c>
      <c r="F20">
        <v>1</v>
      </c>
      <c r="G20">
        <v>1</v>
      </c>
      <c r="H20">
        <v>1</v>
      </c>
    </row>
    <row r="25" spans="1:8" x14ac:dyDescent="0.35">
      <c r="B25" s="2" t="s">
        <v>25</v>
      </c>
      <c r="E25">
        <v>1</v>
      </c>
      <c r="H25">
        <v>1</v>
      </c>
    </row>
    <row r="26" spans="1:8" x14ac:dyDescent="0.35">
      <c r="B26" s="2" t="s">
        <v>24</v>
      </c>
      <c r="E26">
        <v>1</v>
      </c>
      <c r="H26">
        <v>1</v>
      </c>
    </row>
    <row r="30" spans="1:8" x14ac:dyDescent="0.35">
      <c r="B30" s="2" t="s">
        <v>26</v>
      </c>
      <c r="F30">
        <v>1</v>
      </c>
    </row>
    <row r="31" spans="1:8" x14ac:dyDescent="0.35">
      <c r="B31" s="2" t="s">
        <v>27</v>
      </c>
      <c r="F31">
        <v>0</v>
      </c>
    </row>
    <row r="32" spans="1:8" x14ac:dyDescent="0.35">
      <c r="B32" s="2" t="s">
        <v>28</v>
      </c>
      <c r="F32">
        <v>0</v>
      </c>
    </row>
    <row r="33" spans="2:8" x14ac:dyDescent="0.35">
      <c r="B33" s="2" t="s">
        <v>29</v>
      </c>
      <c r="F33">
        <v>0</v>
      </c>
    </row>
    <row r="34" spans="2:8" x14ac:dyDescent="0.35">
      <c r="B34" s="2" t="s">
        <v>30</v>
      </c>
      <c r="F34">
        <v>0</v>
      </c>
    </row>
    <row r="35" spans="2:8" x14ac:dyDescent="0.35">
      <c r="B35" s="2" t="s">
        <v>31</v>
      </c>
      <c r="F35">
        <v>1</v>
      </c>
      <c r="H35">
        <v>1</v>
      </c>
    </row>
    <row r="36" spans="2:8" x14ac:dyDescent="0.35">
      <c r="B36" s="2" t="s">
        <v>32</v>
      </c>
      <c r="F36">
        <v>0</v>
      </c>
    </row>
  </sheetData>
  <conditionalFormatting sqref="C12:C13">
    <cfRule type="iconSet" priority="1177">
      <iconSet iconSet="3Symbols">
        <cfvo type="percent" val="0"/>
        <cfvo type="num" val="1"/>
        <cfvo type="num" val="2"/>
      </iconSet>
    </cfRule>
    <cfRule type="iconSet" priority="1178">
      <iconSet iconSet="3Symbols">
        <cfvo type="percent" val="0"/>
        <cfvo type="percent" val="33"/>
        <cfvo type="percent" val="67"/>
      </iconSet>
    </cfRule>
  </conditionalFormatting>
  <conditionalFormatting sqref="C14:C15">
    <cfRule type="iconSet" priority="139">
      <iconSet iconSet="3Symbols">
        <cfvo type="percent" val="0"/>
        <cfvo type="percent" val="33"/>
        <cfvo type="percent" val="67"/>
      </iconSet>
    </cfRule>
    <cfRule type="iconSet" priority="141">
      <iconSet iconSet="3Symbols">
        <cfvo type="percent" val="0"/>
        <cfvo type="num" val="1"/>
        <cfvo type="num" val="2"/>
      </iconSet>
    </cfRule>
  </conditionalFormatting>
  <conditionalFormatting sqref="C29:C33 F17:H17 C23:E28">
    <cfRule type="iconSet" priority="181">
      <iconSet iconSet="3Symbols">
        <cfvo type="percent" val="0"/>
        <cfvo type="percent" val="33"/>
        <cfvo type="percent" val="67"/>
      </iconSet>
    </cfRule>
    <cfRule type="iconSet" priority="189">
      <iconSet iconSet="3Symbols">
        <cfvo type="percent" val="0"/>
        <cfvo type="num" val="1"/>
        <cfvo type="num" val="2"/>
      </iconSet>
    </cfRule>
  </conditionalFormatting>
  <conditionalFormatting sqref="C17:E26">
    <cfRule type="iconSet" priority="38">
      <iconSet iconSet="3Symbols">
        <cfvo type="percent" val="0"/>
        <cfvo type="num" val="1"/>
        <cfvo type="num" val="2"/>
      </iconSet>
    </cfRule>
    <cfRule type="iconSet" priority="39">
      <iconSet iconSet="3Symbols">
        <cfvo type="percent" val="0"/>
        <cfvo type="percent" val="33"/>
        <cfvo type="percent" val="67"/>
      </iconSet>
    </cfRule>
  </conditionalFormatting>
  <conditionalFormatting sqref="D12:D13">
    <cfRule type="iconSet" priority="1179">
      <iconSet iconSet="3Symbols">
        <cfvo type="percent" val="0"/>
        <cfvo type="num" val="1"/>
        <cfvo type="num" val="2"/>
      </iconSet>
    </cfRule>
    <cfRule type="iconSet" priority="1180">
      <iconSet iconSet="3Symbols">
        <cfvo type="percent" val="0"/>
        <cfvo type="percent" val="33"/>
        <cfvo type="percent" val="67"/>
      </iconSet>
    </cfRule>
  </conditionalFormatting>
  <conditionalFormatting sqref="D14:D15">
    <cfRule type="iconSet" priority="30">
      <iconSet iconSet="3Symbols">
        <cfvo type="percent" val="0"/>
        <cfvo type="percent" val="33"/>
        <cfvo type="percent" val="67"/>
      </iconSet>
    </cfRule>
    <cfRule type="iconSet" priority="31">
      <iconSet iconSet="3Symbols">
        <cfvo type="percent" val="0"/>
        <cfvo type="num" val="1"/>
        <cfvo type="num" val="2"/>
      </iconSet>
    </cfRule>
  </conditionalFormatting>
  <conditionalFormatting sqref="D29:E37">
    <cfRule type="iconSet" priority="1212">
      <iconSet iconSet="3Symbols">
        <cfvo type="percent" val="0"/>
        <cfvo type="percent" val="33"/>
        <cfvo type="percent" val="67"/>
      </iconSet>
    </cfRule>
    <cfRule type="iconSet" priority="1213">
      <iconSet iconSet="3Symbols">
        <cfvo type="percent" val="0"/>
        <cfvo type="num" val="1"/>
        <cfvo type="num" val="2"/>
      </iconSet>
    </cfRule>
  </conditionalFormatting>
  <conditionalFormatting sqref="E12:E13">
    <cfRule type="iconSet" priority="1181">
      <iconSet iconSet="3Symbols">
        <cfvo type="percent" val="0"/>
        <cfvo type="num" val="1"/>
        <cfvo type="num" val="2"/>
      </iconSet>
    </cfRule>
    <cfRule type="iconSet" priority="1182">
      <iconSet iconSet="3Symbols">
        <cfvo type="percent" val="0"/>
        <cfvo type="percent" val="33"/>
        <cfvo type="percent" val="67"/>
      </iconSet>
    </cfRule>
  </conditionalFormatting>
  <conditionalFormatting sqref="E14:E15">
    <cfRule type="iconSet" priority="24">
      <iconSet iconSet="3Symbols">
        <cfvo type="percent" val="0"/>
        <cfvo type="percent" val="33"/>
        <cfvo type="percent" val="67"/>
      </iconSet>
    </cfRule>
    <cfRule type="iconSet" priority="25">
      <iconSet iconSet="3Symbols">
        <cfvo type="percent" val="0"/>
        <cfvo type="num" val="1"/>
        <cfvo type="num" val="2"/>
      </iconSet>
    </cfRule>
  </conditionalFormatting>
  <conditionalFormatting sqref="F12:F13">
    <cfRule type="iconSet" priority="1183">
      <iconSet iconSet="3Symbols">
        <cfvo type="percent" val="0"/>
        <cfvo type="num" val="1"/>
        <cfvo type="num" val="2"/>
      </iconSet>
    </cfRule>
    <cfRule type="iconSet" priority="1184">
      <iconSet iconSet="3Symbols">
        <cfvo type="percent" val="0"/>
        <cfvo type="percent" val="33"/>
        <cfvo type="percent" val="67"/>
      </iconSet>
    </cfRule>
  </conditionalFormatting>
  <conditionalFormatting sqref="F14">
    <cfRule type="iconSet" priority="18">
      <iconSet iconSet="3Symbols">
        <cfvo type="percent" val="0"/>
        <cfvo type="percent" val="33"/>
        <cfvo type="percent" val="67"/>
      </iconSet>
    </cfRule>
    <cfRule type="iconSet" priority="19">
      <iconSet iconSet="3Symbols">
        <cfvo type="percent" val="0"/>
        <cfvo type="num" val="1"/>
        <cfvo type="num" val="2"/>
      </iconSet>
    </cfRule>
  </conditionalFormatting>
  <conditionalFormatting sqref="F15">
    <cfRule type="iconSet" priority="14">
      <iconSet iconSet="3Symbols">
        <cfvo type="percent" val="0"/>
        <cfvo type="num" val="1"/>
        <cfvo type="num" val="2"/>
      </iconSet>
    </cfRule>
    <cfRule type="iconSet" priority="15">
      <iconSet iconSet="3Symbols">
        <cfvo type="percent" val="0"/>
        <cfvo type="percent" val="33"/>
        <cfvo type="percent" val="67"/>
      </iconSet>
    </cfRule>
  </conditionalFormatting>
  <conditionalFormatting sqref="F18:I50">
    <cfRule type="iconSet" priority="1214">
      <iconSet iconSet="3Symbols">
        <cfvo type="percent" val="0"/>
        <cfvo type="num" val="1"/>
        <cfvo type="num" val="2"/>
      </iconSet>
    </cfRule>
    <cfRule type="iconSet" priority="1215">
      <iconSet iconSet="3Symbols">
        <cfvo type="percent" val="0"/>
        <cfvo type="percent" val="33"/>
        <cfvo type="percent" val="67"/>
      </iconSet>
    </cfRule>
  </conditionalFormatting>
  <conditionalFormatting sqref="G12:G15">
    <cfRule type="iconSet" priority="1189">
      <iconSet iconSet="3Symbols">
        <cfvo type="percent" val="0"/>
        <cfvo type="num" val="1"/>
        <cfvo type="num" val="2"/>
      </iconSet>
    </cfRule>
    <cfRule type="iconSet" priority="1190">
      <iconSet iconSet="3Symbols">
        <cfvo type="percent" val="0"/>
        <cfvo type="percent" val="33"/>
        <cfvo type="percent" val="67"/>
      </iconSet>
    </cfRule>
  </conditionalFormatting>
  <conditionalFormatting sqref="H12:H15">
    <cfRule type="iconSet" priority="1191">
      <iconSet iconSet="3Symbols">
        <cfvo type="percent" val="0"/>
        <cfvo type="num" val="1"/>
        <cfvo type="num" val="2"/>
      </iconSet>
    </cfRule>
    <cfRule type="iconSet" priority="1192">
      <iconSet iconSet="3Symbols">
        <cfvo type="percent" val="0"/>
        <cfvo type="percent" val="33"/>
        <cfvo type="percent" val="67"/>
      </iconSet>
    </cfRule>
  </conditionalFormatting>
  <conditionalFormatting sqref="I17 I12:I15">
    <cfRule type="iconSet" priority="46">
      <iconSet>
        <cfvo type="percent" val="0"/>
        <cfvo type="num" val="1"/>
        <cfvo type="num" val="2"/>
      </iconSet>
    </cfRule>
  </conditionalFormatting>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18EB4-94CB-4F83-A022-C312C53EE82B}">
  <dimension ref="A1:I20"/>
  <sheetViews>
    <sheetView workbookViewId="0">
      <selection activeCell="A14" sqref="A14:XFD18"/>
    </sheetView>
  </sheetViews>
  <sheetFormatPr defaultRowHeight="14.5" x14ac:dyDescent="0.35"/>
  <cols>
    <col min="1" max="1" width="28" customWidth="1"/>
    <col min="2" max="2" width="35.453125" style="2" customWidth="1"/>
    <col min="3" max="8" width="15.453125" customWidth="1"/>
  </cols>
  <sheetData>
    <row r="1" spans="1:8" x14ac:dyDescent="0.35">
      <c r="A1" s="1" t="s">
        <v>69</v>
      </c>
      <c r="C1">
        <f xml:space="preserve"> SUM(C5:C6) / (C5+ C6+ C9) * 100</f>
        <v>100</v>
      </c>
      <c r="D1">
        <f t="shared" ref="D1:H1" si="0" xml:space="preserve"> SUM(D5:D6) / (D5+ D6+ D9) * 100</f>
        <v>100</v>
      </c>
      <c r="E1">
        <f t="shared" si="0"/>
        <v>100</v>
      </c>
      <c r="F1">
        <f t="shared" si="0"/>
        <v>100</v>
      </c>
      <c r="G1">
        <f t="shared" si="0"/>
        <v>100</v>
      </c>
      <c r="H1">
        <f t="shared" si="0"/>
        <v>100</v>
      </c>
    </row>
    <row r="2" spans="1:8" x14ac:dyDescent="0.35">
      <c r="A2" s="1" t="s">
        <v>68</v>
      </c>
      <c r="C2">
        <f xml:space="preserve"> SUM(C5:C6) / SUM(C5:C7) *100</f>
        <v>100</v>
      </c>
      <c r="D2">
        <f t="shared" ref="D2:H2" si="1" xml:space="preserve"> SUM(D5:D6) / SUM(D5:D7) *100</f>
        <v>100</v>
      </c>
      <c r="E2">
        <f t="shared" si="1"/>
        <v>100</v>
      </c>
      <c r="F2">
        <f t="shared" si="1"/>
        <v>100</v>
      </c>
      <c r="G2">
        <f t="shared" si="1"/>
        <v>100</v>
      </c>
      <c r="H2">
        <f t="shared" si="1"/>
        <v>100</v>
      </c>
    </row>
    <row r="3" spans="1:8" x14ac:dyDescent="0.35">
      <c r="A3" s="1" t="s">
        <v>126</v>
      </c>
      <c r="C3">
        <f xml:space="preserve"> C5/ (C5+ C8) * 100</f>
        <v>100</v>
      </c>
      <c r="D3">
        <f t="shared" ref="D3:H3" si="2" xml:space="preserve"> D5/ (D5+ D8) * 100</f>
        <v>100</v>
      </c>
      <c r="E3">
        <f t="shared" si="2"/>
        <v>100</v>
      </c>
      <c r="F3">
        <f t="shared" si="2"/>
        <v>100</v>
      </c>
      <c r="G3">
        <f t="shared" si="2"/>
        <v>100</v>
      </c>
      <c r="H3">
        <f t="shared" si="2"/>
        <v>100</v>
      </c>
    </row>
    <row r="4" spans="1:8" x14ac:dyDescent="0.35">
      <c r="A4" s="1" t="s">
        <v>127</v>
      </c>
      <c r="C4">
        <f xml:space="preserve"> C5 / (C5+C7) *100</f>
        <v>100</v>
      </c>
      <c r="D4">
        <f t="shared" ref="D4:H4" si="3" xml:space="preserve"> D5 / (D5+D7) *100</f>
        <v>100</v>
      </c>
      <c r="E4">
        <f t="shared" si="3"/>
        <v>100</v>
      </c>
      <c r="F4">
        <f t="shared" si="3"/>
        <v>100</v>
      </c>
      <c r="G4">
        <f t="shared" si="3"/>
        <v>100</v>
      </c>
      <c r="H4">
        <f t="shared" si="3"/>
        <v>100</v>
      </c>
    </row>
    <row r="5" spans="1:8" x14ac:dyDescent="0.35">
      <c r="A5" s="1" t="s">
        <v>46</v>
      </c>
      <c r="C5" s="2">
        <f t="shared" ref="C5:H5" si="4">COUNTIF(C12:C16, 2)</f>
        <v>2</v>
      </c>
      <c r="D5" s="2">
        <f t="shared" si="4"/>
        <v>2</v>
      </c>
      <c r="E5" s="2">
        <f t="shared" si="4"/>
        <v>2</v>
      </c>
      <c r="F5" s="2">
        <f t="shared" si="4"/>
        <v>2</v>
      </c>
      <c r="G5" s="2">
        <f t="shared" si="4"/>
        <v>2</v>
      </c>
      <c r="H5" s="2">
        <f t="shared" si="4"/>
        <v>2</v>
      </c>
    </row>
    <row r="6" spans="1:8" x14ac:dyDescent="0.35">
      <c r="A6" s="1" t="s">
        <v>47</v>
      </c>
      <c r="C6">
        <f t="shared" ref="C6:H6" si="5">COUNTIF(C12:C16, 1)</f>
        <v>0</v>
      </c>
      <c r="D6">
        <f t="shared" si="5"/>
        <v>0</v>
      </c>
      <c r="E6">
        <f t="shared" si="5"/>
        <v>0</v>
      </c>
      <c r="F6">
        <f t="shared" si="5"/>
        <v>0</v>
      </c>
      <c r="G6">
        <f t="shared" si="5"/>
        <v>0</v>
      </c>
      <c r="H6">
        <f t="shared" si="5"/>
        <v>0</v>
      </c>
    </row>
    <row r="7" spans="1:8" x14ac:dyDescent="0.35">
      <c r="A7" s="1" t="s">
        <v>48</v>
      </c>
      <c r="C7">
        <f t="shared" ref="C7:H7" si="6">COUNTIF(C12:C16, 0)</f>
        <v>0</v>
      </c>
      <c r="D7">
        <f t="shared" si="6"/>
        <v>0</v>
      </c>
      <c r="E7">
        <f t="shared" si="6"/>
        <v>0</v>
      </c>
      <c r="F7">
        <f t="shared" si="6"/>
        <v>0</v>
      </c>
      <c r="G7">
        <f t="shared" si="6"/>
        <v>0</v>
      </c>
      <c r="H7">
        <f t="shared" si="6"/>
        <v>0</v>
      </c>
    </row>
    <row r="8" spans="1:8" x14ac:dyDescent="0.35">
      <c r="A8" s="1" t="s">
        <v>49</v>
      </c>
      <c r="C8">
        <f t="shared" ref="C8:H8" si="7">COUNTIF(C18:C18,0) + COUNTIF(C18:C18,1)</f>
        <v>0</v>
      </c>
      <c r="D8">
        <f t="shared" si="7"/>
        <v>0</v>
      </c>
      <c r="E8">
        <f t="shared" si="7"/>
        <v>0</v>
      </c>
      <c r="F8">
        <f t="shared" si="7"/>
        <v>0</v>
      </c>
      <c r="G8">
        <f t="shared" si="7"/>
        <v>0</v>
      </c>
      <c r="H8">
        <f t="shared" si="7"/>
        <v>0</v>
      </c>
    </row>
    <row r="9" spans="1:8" x14ac:dyDescent="0.35">
      <c r="A9" s="1" t="s">
        <v>50</v>
      </c>
      <c r="C9">
        <f t="shared" ref="C9:H9" si="8">COUNTIF(C18:C18,0)</f>
        <v>0</v>
      </c>
      <c r="D9">
        <f t="shared" si="8"/>
        <v>0</v>
      </c>
      <c r="E9">
        <f t="shared" si="8"/>
        <v>0</v>
      </c>
      <c r="F9">
        <f t="shared" si="8"/>
        <v>0</v>
      </c>
      <c r="G9">
        <f t="shared" si="8"/>
        <v>0</v>
      </c>
      <c r="H9">
        <f t="shared" si="8"/>
        <v>0</v>
      </c>
    </row>
    <row r="10" spans="1:8" s="3" customFormat="1" x14ac:dyDescent="0.35"/>
    <row r="11" spans="1:8" s="1" customFormat="1" x14ac:dyDescent="0.35">
      <c r="B11" s="5"/>
      <c r="C11" s="1" t="s">
        <v>3</v>
      </c>
      <c r="D11" s="1" t="s">
        <v>4</v>
      </c>
      <c r="E11" s="1" t="s">
        <v>5</v>
      </c>
      <c r="F11" s="1" t="s">
        <v>6</v>
      </c>
      <c r="G11" s="1" t="s">
        <v>7</v>
      </c>
      <c r="H11" s="1" t="s">
        <v>8</v>
      </c>
    </row>
    <row r="12" spans="1:8" x14ac:dyDescent="0.35">
      <c r="A12" s="1" t="s">
        <v>2</v>
      </c>
      <c r="B12" s="2" t="s">
        <v>33</v>
      </c>
      <c r="C12">
        <v>2</v>
      </c>
      <c r="D12" s="1">
        <v>2</v>
      </c>
      <c r="E12" s="1">
        <v>2</v>
      </c>
      <c r="F12" s="1">
        <v>2</v>
      </c>
      <c r="G12" s="1">
        <v>2</v>
      </c>
      <c r="H12" s="1">
        <v>2</v>
      </c>
    </row>
    <row r="13" spans="1:8" x14ac:dyDescent="0.35">
      <c r="A13" s="1"/>
      <c r="B13" s="2" t="s">
        <v>34</v>
      </c>
      <c r="C13">
        <v>2</v>
      </c>
      <c r="D13" s="1">
        <v>2</v>
      </c>
      <c r="E13" s="1">
        <v>2</v>
      </c>
      <c r="F13">
        <v>2</v>
      </c>
      <c r="G13" s="1">
        <v>2</v>
      </c>
      <c r="H13" s="1">
        <v>2</v>
      </c>
    </row>
    <row r="14" spans="1:8" x14ac:dyDescent="0.35">
      <c r="A14" s="1"/>
      <c r="D14" s="1"/>
      <c r="E14" s="1"/>
      <c r="G14" s="1"/>
      <c r="H14" s="1"/>
    </row>
    <row r="15" spans="1:8" x14ac:dyDescent="0.35">
      <c r="A15" s="1"/>
      <c r="D15" s="1"/>
      <c r="E15" s="1"/>
      <c r="G15" s="1"/>
      <c r="H15" s="1"/>
    </row>
    <row r="16" spans="1:8" x14ac:dyDescent="0.35">
      <c r="A16" s="1"/>
      <c r="D16" s="1"/>
      <c r="E16" s="1"/>
      <c r="G16" s="1"/>
      <c r="H16" s="1"/>
    </row>
    <row r="17" spans="1:9" s="3" customFormat="1" x14ac:dyDescent="0.35">
      <c r="B17" s="4"/>
      <c r="F17" s="4"/>
      <c r="G17" s="4"/>
      <c r="H17" s="4"/>
      <c r="I17" s="4"/>
    </row>
    <row r="18" spans="1:9" x14ac:dyDescent="0.35">
      <c r="A18" s="1"/>
    </row>
    <row r="19" spans="1:9" x14ac:dyDescent="0.35">
      <c r="B19" s="6"/>
    </row>
    <row r="20" spans="1:9" x14ac:dyDescent="0.35">
      <c r="B20" s="7"/>
    </row>
  </sheetData>
  <conditionalFormatting sqref="C12">
    <cfRule type="iconSet" priority="304">
      <iconSet iconSet="3Symbols">
        <cfvo type="percent" val="0"/>
        <cfvo type="percent" val="33"/>
        <cfvo type="percent" val="67"/>
      </iconSet>
    </cfRule>
    <cfRule type="iconSet" priority="306">
      <iconSet iconSet="3Symbols">
        <cfvo type="percent" val="0"/>
        <cfvo type="num" val="1"/>
        <cfvo type="num" val="2"/>
      </iconSet>
    </cfRule>
  </conditionalFormatting>
  <conditionalFormatting sqref="C13:C16">
    <cfRule type="iconSet" priority="1216">
      <iconSet iconSet="3Symbols">
        <cfvo type="percent" val="0"/>
        <cfvo type="percent" val="33"/>
        <cfvo type="percent" val="67"/>
      </iconSet>
    </cfRule>
    <cfRule type="iconSet" priority="1217">
      <iconSet iconSet="3Symbols">
        <cfvo type="percent" val="0"/>
        <cfvo type="num" val="1"/>
        <cfvo type="num" val="2"/>
      </iconSet>
    </cfRule>
  </conditionalFormatting>
  <conditionalFormatting sqref="C26:C30 F18:H18 C19:D25">
    <cfRule type="iconSet" priority="65">
      <iconSet iconSet="3Symbols">
        <cfvo type="percent" val="0"/>
        <cfvo type="percent" val="33"/>
        <cfvo type="percent" val="67"/>
      </iconSet>
    </cfRule>
    <cfRule type="iconSet" priority="66">
      <iconSet iconSet="3Symbols">
        <cfvo type="percent" val="0"/>
        <cfvo type="num" val="1"/>
        <cfvo type="num" val="2"/>
      </iconSet>
    </cfRule>
  </conditionalFormatting>
  <conditionalFormatting sqref="C18:D22">
    <cfRule type="iconSet" priority="1242">
      <iconSet iconSet="3Symbols">
        <cfvo type="percent" val="0"/>
        <cfvo type="num" val="1"/>
        <cfvo type="num" val="2"/>
      </iconSet>
    </cfRule>
    <cfRule type="iconSet" priority="1243">
      <iconSet iconSet="3Symbols">
        <cfvo type="percent" val="0"/>
        <cfvo type="percent" val="33"/>
        <cfvo type="percent" val="67"/>
      </iconSet>
    </cfRule>
  </conditionalFormatting>
  <conditionalFormatting sqref="D12">
    <cfRule type="iconSet" priority="28">
      <iconSet iconSet="3Symbols">
        <cfvo type="percent" val="0"/>
        <cfvo type="percent" val="33"/>
        <cfvo type="percent" val="67"/>
      </iconSet>
    </cfRule>
    <cfRule type="iconSet" priority="29">
      <iconSet iconSet="3Symbols">
        <cfvo type="percent" val="0"/>
        <cfvo type="num" val="1"/>
        <cfvo type="num" val="2"/>
      </iconSet>
    </cfRule>
  </conditionalFormatting>
  <conditionalFormatting sqref="D13:D16">
    <cfRule type="iconSet" priority="1220">
      <iconSet iconSet="3Symbols">
        <cfvo type="percent" val="0"/>
        <cfvo type="percent" val="33"/>
        <cfvo type="percent" val="67"/>
      </iconSet>
    </cfRule>
    <cfRule type="iconSet" priority="1221">
      <iconSet iconSet="3Symbols">
        <cfvo type="percent" val="0"/>
        <cfvo type="num" val="1"/>
        <cfvo type="num" val="2"/>
      </iconSet>
    </cfRule>
  </conditionalFormatting>
  <conditionalFormatting sqref="D26:D37">
    <cfRule type="iconSet" priority="67">
      <iconSet iconSet="3Symbols">
        <cfvo type="percent" val="0"/>
        <cfvo type="percent" val="33"/>
        <cfvo type="percent" val="67"/>
      </iconSet>
    </cfRule>
    <cfRule type="iconSet" priority="68">
      <iconSet iconSet="3Symbols">
        <cfvo type="percent" val="0"/>
        <cfvo type="num" val="1"/>
        <cfvo type="num" val="2"/>
      </iconSet>
    </cfRule>
  </conditionalFormatting>
  <conditionalFormatting sqref="E12">
    <cfRule type="iconSet" priority="18">
      <iconSet iconSet="3Symbols">
        <cfvo type="percent" val="0"/>
        <cfvo type="percent" val="33"/>
        <cfvo type="percent" val="67"/>
      </iconSet>
    </cfRule>
    <cfRule type="iconSet" priority="19">
      <iconSet iconSet="3Symbols">
        <cfvo type="percent" val="0"/>
        <cfvo type="num" val="1"/>
        <cfvo type="num" val="2"/>
      </iconSet>
    </cfRule>
  </conditionalFormatting>
  <conditionalFormatting sqref="E13:E16">
    <cfRule type="iconSet" priority="1224">
      <iconSet iconSet="3Symbols">
        <cfvo type="percent" val="0"/>
        <cfvo type="percent" val="33"/>
        <cfvo type="percent" val="67"/>
      </iconSet>
    </cfRule>
    <cfRule type="iconSet" priority="1225">
      <iconSet iconSet="3Symbols">
        <cfvo type="percent" val="0"/>
        <cfvo type="num" val="1"/>
        <cfvo type="num" val="2"/>
      </iconSet>
    </cfRule>
  </conditionalFormatting>
  <conditionalFormatting sqref="E18:E22">
    <cfRule type="iconSet" priority="1246">
      <iconSet iconSet="3Symbols">
        <cfvo type="percent" val="0"/>
        <cfvo type="num" val="1"/>
        <cfvo type="num" val="2"/>
      </iconSet>
    </cfRule>
    <cfRule type="iconSet" priority="1247">
      <iconSet iconSet="3Symbols">
        <cfvo type="percent" val="0"/>
        <cfvo type="percent" val="33"/>
        <cfvo type="percent" val="67"/>
      </iconSet>
    </cfRule>
  </conditionalFormatting>
  <conditionalFormatting sqref="E19:E25">
    <cfRule type="iconSet" priority="22">
      <iconSet iconSet="3Symbols">
        <cfvo type="percent" val="0"/>
        <cfvo type="percent" val="33"/>
        <cfvo type="percent" val="67"/>
      </iconSet>
    </cfRule>
    <cfRule type="iconSet" priority="23">
      <iconSet iconSet="3Symbols">
        <cfvo type="percent" val="0"/>
        <cfvo type="num" val="1"/>
        <cfvo type="num" val="2"/>
      </iconSet>
    </cfRule>
  </conditionalFormatting>
  <conditionalFormatting sqref="E26:E37">
    <cfRule type="iconSet" priority="24">
      <iconSet iconSet="3Symbols">
        <cfvo type="percent" val="0"/>
        <cfvo type="percent" val="33"/>
        <cfvo type="percent" val="67"/>
      </iconSet>
    </cfRule>
    <cfRule type="iconSet" priority="25">
      <iconSet iconSet="3Symbols">
        <cfvo type="percent" val="0"/>
        <cfvo type="num" val="1"/>
        <cfvo type="num" val="2"/>
      </iconSet>
    </cfRule>
  </conditionalFormatting>
  <conditionalFormatting sqref="F12">
    <cfRule type="iconSet" priority="14">
      <iconSet iconSet="3Symbols">
        <cfvo type="percent" val="0"/>
        <cfvo type="percent" val="33"/>
        <cfvo type="percent" val="67"/>
      </iconSet>
    </cfRule>
    <cfRule type="iconSet" priority="15">
      <iconSet iconSet="3Symbols">
        <cfvo type="percent" val="0"/>
        <cfvo type="num" val="1"/>
        <cfvo type="num" val="2"/>
      </iconSet>
    </cfRule>
  </conditionalFormatting>
  <conditionalFormatting sqref="F13:F16">
    <cfRule type="iconSet" priority="1228">
      <iconSet iconSet="3Symbols">
        <cfvo type="percent" val="0"/>
        <cfvo type="num" val="1"/>
        <cfvo type="num" val="2"/>
      </iconSet>
    </cfRule>
    <cfRule type="iconSet" priority="1229">
      <iconSet iconSet="3Symbols">
        <cfvo type="percent" val="0"/>
        <cfvo type="percent" val="33"/>
        <cfvo type="percent" val="67"/>
      </iconSet>
    </cfRule>
  </conditionalFormatting>
  <conditionalFormatting sqref="F19:I50">
    <cfRule type="iconSet" priority="1254">
      <iconSet iconSet="3Symbols">
        <cfvo type="percent" val="0"/>
        <cfvo type="num" val="1"/>
        <cfvo type="num" val="2"/>
      </iconSet>
    </cfRule>
    <cfRule type="iconSet" priority="1255">
      <iconSet iconSet="3Symbols">
        <cfvo type="percent" val="0"/>
        <cfvo type="percent" val="33"/>
        <cfvo type="percent" val="67"/>
      </iconSet>
    </cfRule>
  </conditionalFormatting>
  <conditionalFormatting sqref="G12">
    <cfRule type="iconSet" priority="8">
      <iconSet iconSet="3Symbols">
        <cfvo type="percent" val="0"/>
        <cfvo type="percent" val="33"/>
        <cfvo type="percent" val="67"/>
      </iconSet>
    </cfRule>
    <cfRule type="iconSet" priority="9">
      <iconSet iconSet="3Symbols">
        <cfvo type="percent" val="0"/>
        <cfvo type="num" val="1"/>
        <cfvo type="num" val="2"/>
      </iconSet>
    </cfRule>
  </conditionalFormatting>
  <conditionalFormatting sqref="G13:G16">
    <cfRule type="iconSet" priority="1236">
      <iconSet iconSet="3Symbols">
        <cfvo type="percent" val="0"/>
        <cfvo type="percent" val="33"/>
        <cfvo type="percent" val="67"/>
      </iconSet>
    </cfRule>
    <cfRule type="iconSet" priority="1237">
      <iconSet iconSet="3Symbols">
        <cfvo type="percent" val="0"/>
        <cfvo type="num" val="1"/>
        <cfvo type="num" val="2"/>
      </iconSet>
    </cfRule>
  </conditionalFormatting>
  <conditionalFormatting sqref="H12">
    <cfRule type="iconSet" priority="4">
      <iconSet iconSet="3Symbols">
        <cfvo type="percent" val="0"/>
        <cfvo type="percent" val="33"/>
        <cfvo type="percent" val="67"/>
      </iconSet>
    </cfRule>
    <cfRule type="iconSet" priority="5">
      <iconSet iconSet="3Symbols">
        <cfvo type="percent" val="0"/>
        <cfvo type="num" val="1"/>
        <cfvo type="num" val="2"/>
      </iconSet>
    </cfRule>
  </conditionalFormatting>
  <conditionalFormatting sqref="H13:H16">
    <cfRule type="iconSet" priority="1240">
      <iconSet iconSet="3Symbols">
        <cfvo type="percent" val="0"/>
        <cfvo type="percent" val="33"/>
        <cfvo type="percent" val="67"/>
      </iconSet>
    </cfRule>
    <cfRule type="iconSet" priority="1241">
      <iconSet iconSet="3Symbols">
        <cfvo type="percent" val="0"/>
        <cfvo type="num" val="1"/>
        <cfvo type="num" val="2"/>
      </iconSet>
    </cfRule>
  </conditionalFormatting>
  <conditionalFormatting sqref="I18 I12:I16">
    <cfRule type="iconSet" priority="56">
      <iconSet>
        <cfvo type="percent" val="0"/>
        <cfvo type="num" val="1"/>
        <cfvo type="num" val="2"/>
      </iconSet>
    </cfRule>
  </conditionalFormatting>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6394D-E881-4BC4-BC2A-5E88704498EE}">
  <dimension ref="A1:I76"/>
  <sheetViews>
    <sheetView workbookViewId="0">
      <selection activeCell="A53" sqref="A53:XFD60"/>
    </sheetView>
  </sheetViews>
  <sheetFormatPr defaultRowHeight="14.5" x14ac:dyDescent="0.35"/>
  <cols>
    <col min="1" max="1" width="28" customWidth="1"/>
    <col min="2" max="2" width="35.453125" style="2" customWidth="1"/>
    <col min="3" max="8" width="15.453125" customWidth="1"/>
  </cols>
  <sheetData>
    <row r="1" spans="1:8" x14ac:dyDescent="0.35">
      <c r="A1" s="1" t="s">
        <v>69</v>
      </c>
      <c r="C1" t="e">
        <f xml:space="preserve"> SUM(C5:C6) / (C5+ C6+ C9) * 100</f>
        <v>#DIV/0!</v>
      </c>
      <c r="D1" t="e">
        <f t="shared" ref="D1:H1" si="0" xml:space="preserve"> SUM(D5:D6) / (D5+ D6+ D9) * 100</f>
        <v>#DIV/0!</v>
      </c>
      <c r="E1" t="e">
        <f t="shared" si="0"/>
        <v>#DIV/0!</v>
      </c>
      <c r="F1">
        <f t="shared" si="0"/>
        <v>0</v>
      </c>
      <c r="G1" t="e">
        <f t="shared" si="0"/>
        <v>#DIV/0!</v>
      </c>
      <c r="H1">
        <f t="shared" si="0"/>
        <v>0</v>
      </c>
    </row>
    <row r="2" spans="1:8" x14ac:dyDescent="0.35">
      <c r="A2" s="1" t="s">
        <v>68</v>
      </c>
      <c r="C2" t="e">
        <f xml:space="preserve"> SUM(C5:C6) / SUM(C5:C7) *100</f>
        <v>#DIV/0!</v>
      </c>
      <c r="D2" t="e">
        <f t="shared" ref="D2:H2" si="1" xml:space="preserve"> SUM(D5:D6) / SUM(D5:D7) *100</f>
        <v>#DIV/0!</v>
      </c>
      <c r="E2" t="e">
        <f t="shared" si="1"/>
        <v>#DIV/0!</v>
      </c>
      <c r="F2" t="e">
        <f t="shared" si="1"/>
        <v>#DIV/0!</v>
      </c>
      <c r="G2" t="e">
        <f t="shared" si="1"/>
        <v>#DIV/0!</v>
      </c>
      <c r="H2" t="e">
        <f t="shared" si="1"/>
        <v>#DIV/0!</v>
      </c>
    </row>
    <row r="3" spans="1:8" x14ac:dyDescent="0.35">
      <c r="A3" s="1" t="s">
        <v>126</v>
      </c>
      <c r="C3">
        <f xml:space="preserve"> C5/ (C5+ C8) * 100</f>
        <v>0</v>
      </c>
      <c r="D3">
        <f t="shared" ref="D3:H3" si="2" xml:space="preserve"> D5/ (D5+ D8) * 100</f>
        <v>0</v>
      </c>
      <c r="E3">
        <f t="shared" si="2"/>
        <v>0</v>
      </c>
      <c r="F3">
        <f t="shared" si="2"/>
        <v>0</v>
      </c>
      <c r="G3">
        <f t="shared" si="2"/>
        <v>0</v>
      </c>
      <c r="H3">
        <f t="shared" si="2"/>
        <v>0</v>
      </c>
    </row>
    <row r="4" spans="1:8" x14ac:dyDescent="0.35">
      <c r="A4" s="1" t="s">
        <v>127</v>
      </c>
      <c r="C4" t="e">
        <f xml:space="preserve"> C5 / (C5+C7) *100</f>
        <v>#DIV/0!</v>
      </c>
      <c r="D4" t="e">
        <f t="shared" ref="D4:H4" si="3" xml:space="preserve"> D5 / (D5+D7) *100</f>
        <v>#DIV/0!</v>
      </c>
      <c r="E4" t="e">
        <f t="shared" si="3"/>
        <v>#DIV/0!</v>
      </c>
      <c r="F4" t="e">
        <f t="shared" si="3"/>
        <v>#DIV/0!</v>
      </c>
      <c r="G4" t="e">
        <f t="shared" si="3"/>
        <v>#DIV/0!</v>
      </c>
      <c r="H4" t="e">
        <f t="shared" si="3"/>
        <v>#DIV/0!</v>
      </c>
    </row>
    <row r="5" spans="1:8" x14ac:dyDescent="0.35">
      <c r="A5" s="1" t="s">
        <v>46</v>
      </c>
      <c r="C5" s="2">
        <f t="shared" ref="C5:H5" si="4">COUNTIF(C12:C25, 2)</f>
        <v>0</v>
      </c>
      <c r="D5" s="2">
        <f t="shared" si="4"/>
        <v>0</v>
      </c>
      <c r="E5" s="2">
        <f t="shared" si="4"/>
        <v>0</v>
      </c>
      <c r="F5" s="2">
        <f t="shared" si="4"/>
        <v>0</v>
      </c>
      <c r="G5" s="2">
        <f t="shared" si="4"/>
        <v>0</v>
      </c>
      <c r="H5" s="2">
        <f t="shared" si="4"/>
        <v>0</v>
      </c>
    </row>
    <row r="6" spans="1:8" x14ac:dyDescent="0.35">
      <c r="A6" s="1" t="s">
        <v>47</v>
      </c>
      <c r="C6">
        <f t="shared" ref="C6:H6" si="5">COUNTIF(C12:C25, 1)</f>
        <v>0</v>
      </c>
      <c r="D6">
        <f t="shared" si="5"/>
        <v>0</v>
      </c>
      <c r="E6">
        <f t="shared" si="5"/>
        <v>0</v>
      </c>
      <c r="F6">
        <f t="shared" si="5"/>
        <v>0</v>
      </c>
      <c r="G6">
        <f t="shared" si="5"/>
        <v>0</v>
      </c>
      <c r="H6">
        <f t="shared" si="5"/>
        <v>0</v>
      </c>
    </row>
    <row r="7" spans="1:8" x14ac:dyDescent="0.35">
      <c r="A7" s="1" t="s">
        <v>48</v>
      </c>
      <c r="C7">
        <f t="shared" ref="C7:H7" si="6">COUNTIF(C12:C25, 0)</f>
        <v>0</v>
      </c>
      <c r="D7">
        <f t="shared" si="6"/>
        <v>0</v>
      </c>
      <c r="E7">
        <f t="shared" si="6"/>
        <v>0</v>
      </c>
      <c r="F7">
        <f t="shared" si="6"/>
        <v>0</v>
      </c>
      <c r="G7">
        <f t="shared" si="6"/>
        <v>0</v>
      </c>
      <c r="H7">
        <f t="shared" si="6"/>
        <v>0</v>
      </c>
    </row>
    <row r="8" spans="1:8" x14ac:dyDescent="0.35">
      <c r="A8" s="1" t="s">
        <v>49</v>
      </c>
      <c r="C8">
        <f>COUNTIF(C27:C69,0) + COUNTIF(C27:C69,1)</f>
        <v>1</v>
      </c>
      <c r="D8">
        <f t="shared" ref="D8:H8" si="7">COUNTIF(D27:D69,0) + COUNTIF(D27:D69,1)</f>
        <v>1</v>
      </c>
      <c r="E8">
        <f t="shared" si="7"/>
        <v>1</v>
      </c>
      <c r="F8">
        <f t="shared" si="7"/>
        <v>6</v>
      </c>
      <c r="G8">
        <f t="shared" si="7"/>
        <v>2</v>
      </c>
      <c r="H8">
        <f t="shared" si="7"/>
        <v>4</v>
      </c>
    </row>
    <row r="9" spans="1:8" x14ac:dyDescent="0.35">
      <c r="A9" s="1" t="s">
        <v>50</v>
      </c>
      <c r="C9">
        <f>COUNTIF(C27:C69,0)</f>
        <v>0</v>
      </c>
      <c r="D9">
        <f t="shared" ref="D9:H9" si="8">COUNTIF(D27:D69,0)</f>
        <v>0</v>
      </c>
      <c r="E9">
        <f t="shared" si="8"/>
        <v>0</v>
      </c>
      <c r="F9">
        <f t="shared" si="8"/>
        <v>2</v>
      </c>
      <c r="G9">
        <f t="shared" si="8"/>
        <v>0</v>
      </c>
      <c r="H9">
        <f t="shared" si="8"/>
        <v>1</v>
      </c>
    </row>
    <row r="10" spans="1:8" s="3" customFormat="1" x14ac:dyDescent="0.35"/>
    <row r="11" spans="1:8" s="1" customFormat="1" x14ac:dyDescent="0.35">
      <c r="B11" s="5"/>
      <c r="C11" s="1" t="s">
        <v>3</v>
      </c>
      <c r="D11" s="1" t="s">
        <v>4</v>
      </c>
      <c r="E11" s="1" t="s">
        <v>5</v>
      </c>
      <c r="F11" s="1" t="s">
        <v>6</v>
      </c>
      <c r="G11" s="1" t="s">
        <v>7</v>
      </c>
      <c r="H11" s="1" t="s">
        <v>8</v>
      </c>
    </row>
    <row r="12" spans="1:8" x14ac:dyDescent="0.35">
      <c r="A12" s="1"/>
    </row>
    <row r="13" spans="1:8" x14ac:dyDescent="0.35">
      <c r="A13" s="1"/>
    </row>
    <row r="14" spans="1:8" x14ac:dyDescent="0.35">
      <c r="A14" s="1"/>
    </row>
    <row r="15" spans="1:8" x14ac:dyDescent="0.35">
      <c r="A15" s="1"/>
    </row>
    <row r="16" spans="1:8" x14ac:dyDescent="0.35">
      <c r="A16" s="1"/>
    </row>
    <row r="17" spans="1:9" x14ac:dyDescent="0.35">
      <c r="A17" s="1"/>
    </row>
    <row r="18" spans="1:9" x14ac:dyDescent="0.35">
      <c r="A18" s="1"/>
    </row>
    <row r="21" spans="1:9" x14ac:dyDescent="0.35">
      <c r="A21" s="1"/>
    </row>
    <row r="22" spans="1:9" x14ac:dyDescent="0.35">
      <c r="A22" s="1"/>
    </row>
    <row r="23" spans="1:9" x14ac:dyDescent="0.35">
      <c r="A23" s="1"/>
    </row>
    <row r="24" spans="1:9" x14ac:dyDescent="0.35">
      <c r="A24" s="1"/>
    </row>
    <row r="25" spans="1:9" x14ac:dyDescent="0.35">
      <c r="A25" s="1"/>
    </row>
    <row r="26" spans="1:9" s="3" customFormat="1" x14ac:dyDescent="0.35">
      <c r="F26" s="4"/>
      <c r="G26" s="4"/>
      <c r="H26" s="4"/>
      <c r="I26" s="4"/>
    </row>
    <row r="27" spans="1:9" x14ac:dyDescent="0.35">
      <c r="A27" s="1" t="s">
        <v>9</v>
      </c>
    </row>
    <row r="35" spans="2:8" x14ac:dyDescent="0.35">
      <c r="B35" s="2" t="s">
        <v>61</v>
      </c>
      <c r="C35">
        <v>1</v>
      </c>
      <c r="D35">
        <v>1</v>
      </c>
      <c r="E35">
        <v>1</v>
      </c>
      <c r="F35">
        <v>1</v>
      </c>
      <c r="G35">
        <v>1</v>
      </c>
      <c r="H35">
        <v>1</v>
      </c>
    </row>
    <row r="44" spans="2:8" x14ac:dyDescent="0.35">
      <c r="B44" s="2" t="s">
        <v>62</v>
      </c>
      <c r="F44">
        <v>1</v>
      </c>
      <c r="G44">
        <v>1</v>
      </c>
    </row>
    <row r="45" spans="2:8" x14ac:dyDescent="0.35">
      <c r="B45" s="2" t="s">
        <v>63</v>
      </c>
      <c r="F45">
        <v>0</v>
      </c>
    </row>
    <row r="46" spans="2:8" x14ac:dyDescent="0.35">
      <c r="B46" s="2" t="s">
        <v>64</v>
      </c>
      <c r="F46">
        <v>1</v>
      </c>
      <c r="H46">
        <v>1</v>
      </c>
    </row>
    <row r="47" spans="2:8" x14ac:dyDescent="0.35">
      <c r="B47" s="2" t="s">
        <v>65</v>
      </c>
      <c r="F47">
        <v>1</v>
      </c>
    </row>
    <row r="48" spans="2:8" x14ac:dyDescent="0.35">
      <c r="B48" s="2" t="s">
        <v>66</v>
      </c>
      <c r="F48">
        <v>0</v>
      </c>
    </row>
    <row r="66" spans="2:8" x14ac:dyDescent="0.35">
      <c r="B66" s="2" t="s">
        <v>67</v>
      </c>
      <c r="H66">
        <v>1</v>
      </c>
    </row>
    <row r="67" spans="2:8" x14ac:dyDescent="0.35">
      <c r="B67" s="2" t="s">
        <v>14</v>
      </c>
      <c r="H67">
        <v>0</v>
      </c>
    </row>
    <row r="71" spans="2:8" ht="15.5" x14ac:dyDescent="0.35">
      <c r="B71" s="8"/>
    </row>
    <row r="72" spans="2:8" ht="15.5" x14ac:dyDescent="0.35">
      <c r="B72" s="8"/>
    </row>
    <row r="73" spans="2:8" ht="15.5" x14ac:dyDescent="0.35">
      <c r="B73" s="9"/>
    </row>
    <row r="74" spans="2:8" ht="15.5" x14ac:dyDescent="0.35">
      <c r="B74" s="9"/>
    </row>
    <row r="75" spans="2:8" ht="15.5" x14ac:dyDescent="0.35">
      <c r="B75" s="8"/>
    </row>
    <row r="76" spans="2:8" x14ac:dyDescent="0.35">
      <c r="B76" s="6"/>
    </row>
  </sheetData>
  <conditionalFormatting sqref="C49:I55 C48:F48 H48:I48 H57:H62 F56:G56 F57:F62 C12:I47">
    <cfRule type="iconSet" priority="7">
      <iconSet iconSet="3Symbols">
        <cfvo type="percent" val="0"/>
        <cfvo type="percent" val="33"/>
        <cfvo type="percent" val="67"/>
      </iconSet>
    </cfRule>
  </conditionalFormatting>
  <conditionalFormatting sqref="F28:I47 F49:I49 F48 H48:I48">
    <cfRule type="iconSet" priority="6">
      <iconSet iconSet="3Symbols">
        <cfvo type="percent" val="0"/>
        <cfvo type="num" val="1"/>
        <cfvo type="num" val="2"/>
      </iconSet>
    </cfRule>
  </conditionalFormatting>
  <conditionalFormatting sqref="G57 G59:G60 G65">
    <cfRule type="iconSet" priority="4">
      <iconSet iconSet="3Symbols">
        <cfvo type="percent" val="0"/>
        <cfvo type="percent" val="33"/>
        <cfvo type="percent" val="67"/>
      </iconSet>
    </cfRule>
  </conditionalFormatting>
  <conditionalFormatting sqref="G58">
    <cfRule type="iconSet" priority="3">
      <iconSet iconSet="3Symbols">
        <cfvo type="percent" val="0"/>
        <cfvo type="num" val="1"/>
        <cfvo type="num" val="2"/>
      </iconSet>
    </cfRule>
  </conditionalFormatting>
  <conditionalFormatting sqref="G61:G74 F64:F74 H64:H74">
    <cfRule type="iconSet" priority="2">
      <iconSet iconSet="3Symbols">
        <cfvo type="percent" val="0"/>
        <cfvo type="num" val="1"/>
        <cfvo type="num" val="2"/>
      </iconSet>
    </cfRule>
  </conditionalFormatting>
  <conditionalFormatting sqref="G66:G67">
    <cfRule type="iconSet" priority="5">
      <iconSet iconSet="3Symbols">
        <cfvo type="percent" val="0"/>
        <cfvo type="percent" val="33"/>
        <cfvo type="percent" val="67"/>
      </iconSet>
    </cfRule>
  </conditionalFormatting>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42A57-C6D9-4B00-8EE4-7692F2E9A15C}">
  <dimension ref="A1:I38"/>
  <sheetViews>
    <sheetView topLeftCell="A4" zoomScale="88" workbookViewId="0">
      <selection activeCell="A39" sqref="A39:XFD40"/>
    </sheetView>
  </sheetViews>
  <sheetFormatPr defaultRowHeight="14.5" x14ac:dyDescent="0.35"/>
  <cols>
    <col min="1" max="1" width="28" customWidth="1"/>
    <col min="2" max="2" width="35.453125" style="2" customWidth="1"/>
    <col min="3" max="8" width="15.453125" customWidth="1"/>
  </cols>
  <sheetData>
    <row r="1" spans="1:9" x14ac:dyDescent="0.35">
      <c r="A1" s="1" t="s">
        <v>69</v>
      </c>
      <c r="C1">
        <f xml:space="preserve"> SUM(C5:C6) / (C5+ C6+ C9) * 100</f>
        <v>100</v>
      </c>
      <c r="D1">
        <f t="shared" ref="D1:H1" si="0" xml:space="preserve"> SUM(D5:D6) / (D5+ D6+ D9) * 100</f>
        <v>100</v>
      </c>
      <c r="E1">
        <f t="shared" si="0"/>
        <v>100</v>
      </c>
      <c r="F1">
        <f t="shared" si="0"/>
        <v>80</v>
      </c>
      <c r="G1">
        <f t="shared" si="0"/>
        <v>100</v>
      </c>
      <c r="H1">
        <f t="shared" si="0"/>
        <v>100</v>
      </c>
    </row>
    <row r="2" spans="1:9" x14ac:dyDescent="0.35">
      <c r="A2" s="1" t="s">
        <v>68</v>
      </c>
      <c r="C2">
        <f xml:space="preserve"> SUM(C5:C6) / SUM(C5:C7) *100</f>
        <v>100</v>
      </c>
      <c r="D2">
        <f t="shared" ref="D2:H2" si="1" xml:space="preserve"> SUM(D5:D6) / SUM(D5:D7) *100</f>
        <v>100</v>
      </c>
      <c r="E2">
        <f t="shared" si="1"/>
        <v>100</v>
      </c>
      <c r="F2">
        <f t="shared" si="1"/>
        <v>100</v>
      </c>
      <c r="G2">
        <f t="shared" si="1"/>
        <v>75</v>
      </c>
      <c r="H2">
        <f t="shared" si="1"/>
        <v>50</v>
      </c>
    </row>
    <row r="3" spans="1:9" x14ac:dyDescent="0.35">
      <c r="A3" s="1" t="s">
        <v>126</v>
      </c>
      <c r="C3">
        <f xml:space="preserve"> C5/ (C5+ C8) * 100</f>
        <v>100</v>
      </c>
      <c r="D3">
        <f t="shared" ref="D3:H3" si="2" xml:space="preserve"> D5/ (D5+ D8) * 100</f>
        <v>80</v>
      </c>
      <c r="E3">
        <f t="shared" si="2"/>
        <v>80</v>
      </c>
      <c r="F3">
        <f t="shared" si="2"/>
        <v>80</v>
      </c>
      <c r="G3">
        <f t="shared" si="2"/>
        <v>100</v>
      </c>
      <c r="H3">
        <f t="shared" si="2"/>
        <v>100</v>
      </c>
    </row>
    <row r="4" spans="1:9" x14ac:dyDescent="0.35">
      <c r="A4" s="1" t="s">
        <v>127</v>
      </c>
      <c r="C4">
        <f xml:space="preserve"> C5 / (C5+C7) *100</f>
        <v>100</v>
      </c>
      <c r="D4">
        <f t="shared" ref="D4:H4" si="3" xml:space="preserve"> D5 / (D5+D7) *100</f>
        <v>100</v>
      </c>
      <c r="E4">
        <f t="shared" si="3"/>
        <v>100</v>
      </c>
      <c r="F4">
        <f t="shared" si="3"/>
        <v>100</v>
      </c>
      <c r="G4">
        <f t="shared" si="3"/>
        <v>75</v>
      </c>
      <c r="H4">
        <f t="shared" si="3"/>
        <v>50</v>
      </c>
    </row>
    <row r="5" spans="1:9" x14ac:dyDescent="0.35">
      <c r="A5" s="1" t="s">
        <v>46</v>
      </c>
      <c r="C5" s="2">
        <f t="shared" ref="C5:H5" si="4">COUNTIF(C12:C15, 2)</f>
        <v>4</v>
      </c>
      <c r="D5" s="2">
        <f t="shared" si="4"/>
        <v>4</v>
      </c>
      <c r="E5" s="2">
        <f t="shared" si="4"/>
        <v>4</v>
      </c>
      <c r="F5" s="2">
        <f t="shared" si="4"/>
        <v>4</v>
      </c>
      <c r="G5" s="2">
        <f t="shared" si="4"/>
        <v>3</v>
      </c>
      <c r="H5" s="2">
        <f t="shared" si="4"/>
        <v>2</v>
      </c>
    </row>
    <row r="6" spans="1:9" x14ac:dyDescent="0.35">
      <c r="A6" s="1" t="s">
        <v>47</v>
      </c>
      <c r="C6">
        <f t="shared" ref="C6:H6" si="5">COUNTIF(C12:C15, 1)</f>
        <v>0</v>
      </c>
      <c r="D6">
        <f t="shared" si="5"/>
        <v>0</v>
      </c>
      <c r="E6">
        <f t="shared" si="5"/>
        <v>0</v>
      </c>
      <c r="F6">
        <f t="shared" si="5"/>
        <v>0</v>
      </c>
      <c r="G6">
        <f t="shared" si="5"/>
        <v>0</v>
      </c>
      <c r="H6">
        <f t="shared" si="5"/>
        <v>0</v>
      </c>
    </row>
    <row r="7" spans="1:9" x14ac:dyDescent="0.35">
      <c r="A7" s="1" t="s">
        <v>48</v>
      </c>
      <c r="C7">
        <f t="shared" ref="C7:H7" si="6">COUNTIF(C12:C15, 0)</f>
        <v>0</v>
      </c>
      <c r="D7">
        <f t="shared" si="6"/>
        <v>0</v>
      </c>
      <c r="E7">
        <f t="shared" si="6"/>
        <v>0</v>
      </c>
      <c r="F7">
        <f t="shared" si="6"/>
        <v>0</v>
      </c>
      <c r="G7">
        <f t="shared" si="6"/>
        <v>1</v>
      </c>
      <c r="H7">
        <f t="shared" si="6"/>
        <v>2</v>
      </c>
    </row>
    <row r="8" spans="1:9" x14ac:dyDescent="0.35">
      <c r="A8" s="1" t="s">
        <v>49</v>
      </c>
      <c r="C8">
        <f t="shared" ref="C8:H8" si="7">COUNTIF(C17:C40,0) + COUNTIF(C17:C40,1)</f>
        <v>0</v>
      </c>
      <c r="D8">
        <f t="shared" si="7"/>
        <v>1</v>
      </c>
      <c r="E8">
        <f t="shared" si="7"/>
        <v>1</v>
      </c>
      <c r="F8">
        <f t="shared" si="7"/>
        <v>1</v>
      </c>
      <c r="G8">
        <f t="shared" si="7"/>
        <v>0</v>
      </c>
      <c r="H8">
        <f t="shared" si="7"/>
        <v>0</v>
      </c>
    </row>
    <row r="9" spans="1:9" x14ac:dyDescent="0.35">
      <c r="A9" s="1" t="s">
        <v>50</v>
      </c>
      <c r="C9">
        <f t="shared" ref="C9:H9" si="8">COUNTIF(C17:C40,0)</f>
        <v>0</v>
      </c>
      <c r="D9">
        <f t="shared" si="8"/>
        <v>0</v>
      </c>
      <c r="E9">
        <f t="shared" si="8"/>
        <v>0</v>
      </c>
      <c r="F9">
        <f t="shared" si="8"/>
        <v>1</v>
      </c>
      <c r="G9">
        <f t="shared" si="8"/>
        <v>0</v>
      </c>
      <c r="H9">
        <f t="shared" si="8"/>
        <v>0</v>
      </c>
    </row>
    <row r="10" spans="1:9" s="3" customFormat="1" x14ac:dyDescent="0.35"/>
    <row r="11" spans="1:9" s="1" customFormat="1" x14ac:dyDescent="0.35">
      <c r="B11" s="5"/>
      <c r="C11" s="1" t="s">
        <v>3</v>
      </c>
      <c r="D11" s="1" t="s">
        <v>4</v>
      </c>
      <c r="E11" s="1" t="s">
        <v>5</v>
      </c>
      <c r="F11" s="1" t="s">
        <v>6</v>
      </c>
      <c r="G11" s="1" t="s">
        <v>7</v>
      </c>
      <c r="H11" s="1" t="s">
        <v>8</v>
      </c>
    </row>
    <row r="12" spans="1:9" x14ac:dyDescent="0.35">
      <c r="A12" s="1" t="s">
        <v>2</v>
      </c>
      <c r="B12" s="2" t="s">
        <v>35</v>
      </c>
      <c r="C12">
        <v>2</v>
      </c>
      <c r="D12">
        <v>2</v>
      </c>
      <c r="E12">
        <v>2</v>
      </c>
      <c r="F12">
        <v>2</v>
      </c>
      <c r="G12" s="1">
        <v>2</v>
      </c>
      <c r="H12" s="1">
        <v>2</v>
      </c>
    </row>
    <row r="13" spans="1:9" x14ac:dyDescent="0.35">
      <c r="A13" s="1"/>
      <c r="B13" s="2" t="s">
        <v>36</v>
      </c>
      <c r="C13">
        <v>2</v>
      </c>
      <c r="D13">
        <v>2</v>
      </c>
      <c r="E13">
        <v>2</v>
      </c>
      <c r="F13">
        <v>2</v>
      </c>
      <c r="G13" s="1">
        <v>0</v>
      </c>
      <c r="H13" s="1">
        <v>0</v>
      </c>
    </row>
    <row r="14" spans="1:9" x14ac:dyDescent="0.35">
      <c r="A14" s="1"/>
      <c r="B14" s="2" t="s">
        <v>37</v>
      </c>
      <c r="C14">
        <v>2</v>
      </c>
      <c r="D14">
        <v>2</v>
      </c>
      <c r="E14">
        <v>2</v>
      </c>
      <c r="F14">
        <v>2</v>
      </c>
      <c r="G14" s="1">
        <v>2</v>
      </c>
      <c r="H14" s="1">
        <v>0</v>
      </c>
    </row>
    <row r="15" spans="1:9" x14ac:dyDescent="0.35">
      <c r="A15" s="5" t="s">
        <v>38</v>
      </c>
      <c r="B15" s="2" t="s">
        <v>39</v>
      </c>
      <c r="C15">
        <v>2</v>
      </c>
      <c r="D15">
        <v>2</v>
      </c>
      <c r="E15">
        <v>2</v>
      </c>
      <c r="F15">
        <v>2</v>
      </c>
      <c r="G15" s="1">
        <v>2</v>
      </c>
      <c r="H15" s="1">
        <v>2</v>
      </c>
    </row>
    <row r="16" spans="1:9" s="3" customFormat="1" x14ac:dyDescent="0.35">
      <c r="F16" s="4"/>
      <c r="G16" s="4"/>
      <c r="H16" s="4"/>
      <c r="I16" s="4"/>
    </row>
    <row r="17" spans="1:5" x14ac:dyDescent="0.35">
      <c r="A17" s="1" t="s">
        <v>9</v>
      </c>
    </row>
    <row r="29" spans="1:5" x14ac:dyDescent="0.35">
      <c r="B29" s="2" t="s">
        <v>11</v>
      </c>
      <c r="D29">
        <v>1</v>
      </c>
      <c r="E29">
        <v>1</v>
      </c>
    </row>
    <row r="38" spans="2:6" x14ac:dyDescent="0.35">
      <c r="B38" s="2" t="s">
        <v>40</v>
      </c>
      <c r="F38">
        <v>0</v>
      </c>
    </row>
  </sheetData>
  <conditionalFormatting sqref="C12:I42">
    <cfRule type="iconSet" priority="1305">
      <iconSet iconSet="3Symbols">
        <cfvo type="percent" val="0"/>
        <cfvo type="percent" val="33"/>
        <cfvo type="percent" val="67"/>
      </iconSet>
    </cfRule>
  </conditionalFormatting>
  <conditionalFormatting sqref="F18:I37">
    <cfRule type="iconSet" priority="1303">
      <iconSet iconSet="3Symbols">
        <cfvo type="percent" val="0"/>
        <cfvo type="num" val="1"/>
        <cfvo type="num" val="2"/>
      </iconSet>
    </cfRule>
  </conditionalFormatting>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C9ECE-8766-4384-84D6-3743FDB01EF1}">
  <dimension ref="A1:I69"/>
  <sheetViews>
    <sheetView topLeftCell="A13" zoomScale="83" zoomScaleNormal="83" workbookViewId="0">
      <selection activeCell="A23" sqref="A23:XFD57"/>
    </sheetView>
  </sheetViews>
  <sheetFormatPr defaultRowHeight="14.5" x14ac:dyDescent="0.35"/>
  <cols>
    <col min="1" max="1" width="28" customWidth="1"/>
    <col min="2" max="2" width="35.453125" style="2" customWidth="1"/>
    <col min="3" max="8" width="15.453125" customWidth="1"/>
  </cols>
  <sheetData>
    <row r="1" spans="1:8" x14ac:dyDescent="0.35">
      <c r="A1" s="1" t="s">
        <v>69</v>
      </c>
      <c r="C1">
        <f xml:space="preserve"> SUM(C5:C6) / (C5+ C6+ C9) * 100</f>
        <v>100</v>
      </c>
      <c r="D1">
        <f t="shared" ref="D1:H1" si="0" xml:space="preserve"> SUM(D5:D6) / (D5+ D6+ D9) * 100</f>
        <v>100</v>
      </c>
      <c r="E1">
        <f t="shared" si="0"/>
        <v>100</v>
      </c>
      <c r="F1">
        <f t="shared" si="0"/>
        <v>100</v>
      </c>
      <c r="G1">
        <f t="shared" si="0"/>
        <v>100</v>
      </c>
      <c r="H1">
        <f t="shared" si="0"/>
        <v>100</v>
      </c>
    </row>
    <row r="2" spans="1:8" x14ac:dyDescent="0.35">
      <c r="A2" s="1" t="s">
        <v>68</v>
      </c>
      <c r="C2">
        <f xml:space="preserve"> SUM(C5:C6) / SUM(C5:C7) *100</f>
        <v>100</v>
      </c>
      <c r="D2">
        <f t="shared" ref="D2:H2" si="1" xml:space="preserve"> SUM(D5:D6) / SUM(D5:D7) *100</f>
        <v>100</v>
      </c>
      <c r="E2">
        <f t="shared" si="1"/>
        <v>100</v>
      </c>
      <c r="F2">
        <f t="shared" si="1"/>
        <v>100</v>
      </c>
      <c r="G2">
        <f t="shared" si="1"/>
        <v>100</v>
      </c>
      <c r="H2">
        <f t="shared" si="1"/>
        <v>100</v>
      </c>
    </row>
    <row r="3" spans="1:8" x14ac:dyDescent="0.35">
      <c r="A3" s="1" t="s">
        <v>126</v>
      </c>
      <c r="C3">
        <f xml:space="preserve"> C5/ (C5+ C8) * 100</f>
        <v>100</v>
      </c>
      <c r="D3">
        <f t="shared" ref="D3:H3" si="2" xml:space="preserve"> D5/ (D5+ D8) * 100</f>
        <v>100</v>
      </c>
      <c r="E3">
        <f t="shared" si="2"/>
        <v>100</v>
      </c>
      <c r="F3">
        <f t="shared" si="2"/>
        <v>100</v>
      </c>
      <c r="G3">
        <f t="shared" si="2"/>
        <v>100</v>
      </c>
      <c r="H3">
        <f t="shared" si="2"/>
        <v>100</v>
      </c>
    </row>
    <row r="4" spans="1:8" x14ac:dyDescent="0.35">
      <c r="A4" s="1" t="s">
        <v>127</v>
      </c>
      <c r="C4">
        <f xml:space="preserve"> C5 / (C5+C7) *100</f>
        <v>100</v>
      </c>
      <c r="D4">
        <f t="shared" ref="D4:H4" si="3" xml:space="preserve"> D5 / (D5+D7) *100</f>
        <v>100</v>
      </c>
      <c r="E4">
        <f t="shared" si="3"/>
        <v>100</v>
      </c>
      <c r="F4">
        <f t="shared" si="3"/>
        <v>100</v>
      </c>
      <c r="G4">
        <f t="shared" si="3"/>
        <v>100</v>
      </c>
      <c r="H4">
        <f t="shared" si="3"/>
        <v>100</v>
      </c>
    </row>
    <row r="5" spans="1:8" x14ac:dyDescent="0.35">
      <c r="A5" s="1" t="s">
        <v>46</v>
      </c>
      <c r="C5" s="2">
        <f t="shared" ref="C5:H5" si="4">COUNTIF(C12:C19, 2)</f>
        <v>5</v>
      </c>
      <c r="D5" s="2">
        <f t="shared" si="4"/>
        <v>5</v>
      </c>
      <c r="E5" s="2">
        <f t="shared" si="4"/>
        <v>5</v>
      </c>
      <c r="F5" s="2">
        <f t="shared" si="4"/>
        <v>5</v>
      </c>
      <c r="G5" s="2">
        <f t="shared" si="4"/>
        <v>5</v>
      </c>
      <c r="H5" s="2">
        <f t="shared" si="4"/>
        <v>5</v>
      </c>
    </row>
    <row r="6" spans="1:8" x14ac:dyDescent="0.35">
      <c r="A6" s="1" t="s">
        <v>47</v>
      </c>
      <c r="C6">
        <f t="shared" ref="C6:H6" si="5">COUNTIF(C12:C19, 1)</f>
        <v>0</v>
      </c>
      <c r="D6">
        <f t="shared" si="5"/>
        <v>0</v>
      </c>
      <c r="E6">
        <f t="shared" si="5"/>
        <v>0</v>
      </c>
      <c r="F6">
        <f t="shared" si="5"/>
        <v>0</v>
      </c>
      <c r="G6">
        <f t="shared" si="5"/>
        <v>0</v>
      </c>
      <c r="H6">
        <f t="shared" si="5"/>
        <v>0</v>
      </c>
    </row>
    <row r="7" spans="1:8" x14ac:dyDescent="0.35">
      <c r="A7" s="1" t="s">
        <v>48</v>
      </c>
      <c r="C7">
        <f t="shared" ref="C7:H7" si="6">COUNTIF(C12:C19, 0)</f>
        <v>0</v>
      </c>
      <c r="D7">
        <f t="shared" si="6"/>
        <v>0</v>
      </c>
      <c r="E7">
        <f t="shared" si="6"/>
        <v>0</v>
      </c>
      <c r="F7">
        <f t="shared" si="6"/>
        <v>0</v>
      </c>
      <c r="G7">
        <f t="shared" si="6"/>
        <v>0</v>
      </c>
      <c r="H7">
        <f t="shared" si="6"/>
        <v>0</v>
      </c>
    </row>
    <row r="8" spans="1:8" x14ac:dyDescent="0.35">
      <c r="A8" s="1" t="s">
        <v>49</v>
      </c>
      <c r="C8">
        <f t="shared" ref="C8:H8" si="7">COUNTIF(C21:C55,0) + COUNTIF(C21:C55,1)</f>
        <v>0</v>
      </c>
      <c r="D8">
        <f t="shared" si="7"/>
        <v>0</v>
      </c>
      <c r="E8">
        <f t="shared" si="7"/>
        <v>0</v>
      </c>
      <c r="F8">
        <f t="shared" si="7"/>
        <v>0</v>
      </c>
      <c r="G8">
        <f t="shared" si="7"/>
        <v>0</v>
      </c>
      <c r="H8">
        <f t="shared" si="7"/>
        <v>0</v>
      </c>
    </row>
    <row r="9" spans="1:8" x14ac:dyDescent="0.35">
      <c r="A9" s="1" t="s">
        <v>50</v>
      </c>
      <c r="C9">
        <f>COUNTIF(C21:C55,0)</f>
        <v>0</v>
      </c>
      <c r="D9">
        <f t="shared" ref="D9:H9" si="8">COUNTIF(D21:D55,0)</f>
        <v>0</v>
      </c>
      <c r="E9">
        <f t="shared" si="8"/>
        <v>0</v>
      </c>
      <c r="F9">
        <f t="shared" si="8"/>
        <v>0</v>
      </c>
      <c r="G9">
        <f t="shared" si="8"/>
        <v>0</v>
      </c>
      <c r="H9">
        <f t="shared" si="8"/>
        <v>0</v>
      </c>
    </row>
    <row r="10" spans="1:8" s="3" customFormat="1" x14ac:dyDescent="0.35"/>
    <row r="11" spans="1:8" s="1" customFormat="1" x14ac:dyDescent="0.35">
      <c r="B11" s="5"/>
      <c r="C11" s="1" t="s">
        <v>3</v>
      </c>
      <c r="D11" s="1" t="s">
        <v>4</v>
      </c>
      <c r="E11" s="1" t="s">
        <v>5</v>
      </c>
      <c r="F11" s="1" t="s">
        <v>6</v>
      </c>
      <c r="G11" s="1" t="s">
        <v>7</v>
      </c>
      <c r="H11" s="1" t="s">
        <v>8</v>
      </c>
    </row>
    <row r="12" spans="1:8" x14ac:dyDescent="0.35">
      <c r="A12" s="1" t="s">
        <v>2</v>
      </c>
      <c r="B12" s="2" t="s">
        <v>41</v>
      </c>
      <c r="C12">
        <v>2</v>
      </c>
      <c r="D12">
        <v>2</v>
      </c>
      <c r="E12">
        <v>2</v>
      </c>
      <c r="F12">
        <v>2</v>
      </c>
      <c r="G12">
        <v>2</v>
      </c>
      <c r="H12">
        <v>2</v>
      </c>
    </row>
    <row r="13" spans="1:8" x14ac:dyDescent="0.35">
      <c r="A13" s="1"/>
      <c r="B13" s="2" t="s">
        <v>42</v>
      </c>
      <c r="C13">
        <v>2</v>
      </c>
      <c r="D13">
        <v>2</v>
      </c>
      <c r="E13">
        <v>2</v>
      </c>
      <c r="F13">
        <v>2</v>
      </c>
      <c r="G13">
        <v>2</v>
      </c>
      <c r="H13">
        <v>2</v>
      </c>
    </row>
    <row r="14" spans="1:8" x14ac:dyDescent="0.35">
      <c r="A14" s="1"/>
      <c r="B14" s="2" t="s">
        <v>43</v>
      </c>
      <c r="C14">
        <v>2</v>
      </c>
      <c r="D14">
        <v>2</v>
      </c>
      <c r="E14">
        <v>2</v>
      </c>
      <c r="F14">
        <v>2</v>
      </c>
      <c r="G14">
        <v>2</v>
      </c>
      <c r="H14">
        <v>2</v>
      </c>
    </row>
    <row r="15" spans="1:8" x14ac:dyDescent="0.35">
      <c r="A15" s="5" t="s">
        <v>38</v>
      </c>
      <c r="B15" s="2" t="s">
        <v>44</v>
      </c>
      <c r="C15">
        <v>2</v>
      </c>
      <c r="D15">
        <v>2</v>
      </c>
      <c r="E15">
        <v>2</v>
      </c>
      <c r="F15">
        <v>2</v>
      </c>
      <c r="G15">
        <v>2</v>
      </c>
      <c r="H15">
        <v>2</v>
      </c>
    </row>
    <row r="16" spans="1:8" x14ac:dyDescent="0.35">
      <c r="A16" s="5"/>
      <c r="B16" s="2" t="s">
        <v>45</v>
      </c>
      <c r="C16">
        <v>2</v>
      </c>
      <c r="D16">
        <v>2</v>
      </c>
      <c r="E16">
        <v>2</v>
      </c>
      <c r="F16">
        <v>2</v>
      </c>
      <c r="G16">
        <v>2</v>
      </c>
      <c r="H16">
        <v>2</v>
      </c>
    </row>
    <row r="17" spans="1:9" x14ac:dyDescent="0.35">
      <c r="A17" s="1"/>
    </row>
    <row r="18" spans="1:9" x14ac:dyDescent="0.35">
      <c r="A18" s="1"/>
    </row>
    <row r="19" spans="1:9" x14ac:dyDescent="0.35">
      <c r="A19" s="1"/>
    </row>
    <row r="20" spans="1:9" s="3" customFormat="1" x14ac:dyDescent="0.35">
      <c r="F20" s="4"/>
      <c r="G20" s="4"/>
      <c r="H20" s="4"/>
      <c r="I20" s="4"/>
    </row>
    <row r="21" spans="1:9" x14ac:dyDescent="0.35">
      <c r="A21" s="1" t="s">
        <v>9</v>
      </c>
    </row>
    <row r="56" spans="2:2" x14ac:dyDescent="0.35">
      <c r="B56" s="6"/>
    </row>
    <row r="62" spans="2:2" ht="15.5" x14ac:dyDescent="0.35">
      <c r="B62" s="8"/>
    </row>
    <row r="63" spans="2:2" ht="15.5" x14ac:dyDescent="0.35">
      <c r="B63" s="9"/>
    </row>
    <row r="64" spans="2:2" ht="15.5" x14ac:dyDescent="0.35">
      <c r="B64" s="8"/>
    </row>
    <row r="65" spans="2:2" ht="15.5" x14ac:dyDescent="0.35">
      <c r="B65" s="8"/>
    </row>
    <row r="66" spans="2:2" ht="15.5" x14ac:dyDescent="0.35">
      <c r="B66" s="9"/>
    </row>
    <row r="67" spans="2:2" ht="15.5" x14ac:dyDescent="0.35">
      <c r="B67" s="9"/>
    </row>
    <row r="68" spans="2:2" ht="15.5" x14ac:dyDescent="0.35">
      <c r="B68" s="8"/>
    </row>
    <row r="69" spans="2:2" x14ac:dyDescent="0.35">
      <c r="B69" s="6"/>
    </row>
  </sheetData>
  <conditionalFormatting sqref="C42:I48 C12:I40 C41:F41 H41:I41 G49 H50:H55">
    <cfRule type="iconSet" priority="491">
      <iconSet iconSet="3Symbols">
        <cfvo type="percent" val="0"/>
        <cfvo type="percent" val="33"/>
        <cfvo type="percent" val="67"/>
      </iconSet>
    </cfRule>
  </conditionalFormatting>
  <conditionalFormatting sqref="F42:I42 F22:I40 F41 H41:I41">
    <cfRule type="iconSet" priority="487">
      <iconSet iconSet="3Symbols">
        <cfvo type="percent" val="0"/>
        <cfvo type="num" val="1"/>
        <cfvo type="num" val="2"/>
      </iconSet>
    </cfRule>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E6038-D35A-4CC8-9DF1-666E04B0A8FF}">
  <dimension ref="A1:I75"/>
  <sheetViews>
    <sheetView zoomScale="83" zoomScaleNormal="83" workbookViewId="0">
      <selection activeCell="A23" sqref="A23:XFD42"/>
    </sheetView>
  </sheetViews>
  <sheetFormatPr defaultRowHeight="14.5" x14ac:dyDescent="0.35"/>
  <cols>
    <col min="1" max="1" width="28" customWidth="1"/>
    <col min="2" max="2" width="35.453125" style="2" customWidth="1"/>
    <col min="3" max="8" width="15.453125" customWidth="1"/>
  </cols>
  <sheetData>
    <row r="1" spans="1:8" x14ac:dyDescent="0.35">
      <c r="A1" s="1" t="s">
        <v>69</v>
      </c>
      <c r="C1">
        <f xml:space="preserve"> SUM(C5:C6) / (C5+ C6+ C9) * 100</f>
        <v>100</v>
      </c>
      <c r="D1">
        <f t="shared" ref="D1:H1" si="0" xml:space="preserve"> SUM(D5:D6) / (D5+ D6+ D9) * 100</f>
        <v>100</v>
      </c>
      <c r="E1">
        <f t="shared" si="0"/>
        <v>100</v>
      </c>
      <c r="F1">
        <f t="shared" si="0"/>
        <v>100</v>
      </c>
      <c r="G1">
        <f t="shared" si="0"/>
        <v>100</v>
      </c>
      <c r="H1">
        <f t="shared" si="0"/>
        <v>100</v>
      </c>
    </row>
    <row r="2" spans="1:8" x14ac:dyDescent="0.35">
      <c r="A2" s="1" t="s">
        <v>68</v>
      </c>
      <c r="C2">
        <f xml:space="preserve"> SUM(C5:C6) / SUM(C5:C7) *100</f>
        <v>100</v>
      </c>
      <c r="D2">
        <f t="shared" ref="D2:H2" si="1" xml:space="preserve"> SUM(D5:D6) / SUM(D5:D7) *100</f>
        <v>100</v>
      </c>
      <c r="E2">
        <f t="shared" si="1"/>
        <v>100</v>
      </c>
      <c r="F2">
        <f t="shared" si="1"/>
        <v>100</v>
      </c>
      <c r="G2">
        <f t="shared" si="1"/>
        <v>50</v>
      </c>
      <c r="H2">
        <f t="shared" si="1"/>
        <v>100</v>
      </c>
    </row>
    <row r="3" spans="1:8" x14ac:dyDescent="0.35">
      <c r="A3" s="1" t="s">
        <v>126</v>
      </c>
      <c r="C3">
        <f xml:space="preserve"> C5/ (C5+ C8) * 100</f>
        <v>100</v>
      </c>
      <c r="D3">
        <f t="shared" ref="D3:H3" si="2" xml:space="preserve"> D5/ (D5+ D8) * 100</f>
        <v>100</v>
      </c>
      <c r="E3">
        <f t="shared" si="2"/>
        <v>100</v>
      </c>
      <c r="F3">
        <f t="shared" si="2"/>
        <v>100</v>
      </c>
      <c r="G3">
        <f t="shared" si="2"/>
        <v>100</v>
      </c>
      <c r="H3">
        <f t="shared" si="2"/>
        <v>100</v>
      </c>
    </row>
    <row r="4" spans="1:8" x14ac:dyDescent="0.35">
      <c r="A4" s="1" t="s">
        <v>127</v>
      </c>
      <c r="C4">
        <f xml:space="preserve"> C5 / (C5+C7) *100</f>
        <v>100</v>
      </c>
      <c r="D4">
        <f t="shared" ref="D4:H4" si="3" xml:space="preserve"> D5 / (D5+D7) *100</f>
        <v>100</v>
      </c>
      <c r="E4">
        <f t="shared" si="3"/>
        <v>100</v>
      </c>
      <c r="F4">
        <f t="shared" si="3"/>
        <v>100</v>
      </c>
      <c r="G4">
        <f t="shared" si="3"/>
        <v>50</v>
      </c>
      <c r="H4">
        <f t="shared" si="3"/>
        <v>100</v>
      </c>
    </row>
    <row r="5" spans="1:8" x14ac:dyDescent="0.35">
      <c r="A5" s="1" t="s">
        <v>46</v>
      </c>
      <c r="C5" s="2">
        <f t="shared" ref="C5:H5" si="4">COUNTIF(C12:C27, 2)</f>
        <v>4</v>
      </c>
      <c r="D5" s="2">
        <f t="shared" si="4"/>
        <v>4</v>
      </c>
      <c r="E5" s="2">
        <f t="shared" si="4"/>
        <v>4</v>
      </c>
      <c r="F5" s="2">
        <f t="shared" si="4"/>
        <v>4</v>
      </c>
      <c r="G5" s="2">
        <f t="shared" si="4"/>
        <v>2</v>
      </c>
      <c r="H5" s="2">
        <f t="shared" si="4"/>
        <v>4</v>
      </c>
    </row>
    <row r="6" spans="1:8" x14ac:dyDescent="0.35">
      <c r="A6" s="1" t="s">
        <v>47</v>
      </c>
      <c r="C6">
        <f t="shared" ref="C6:H6" si="5">COUNTIF(C12:C27, 1)</f>
        <v>0</v>
      </c>
      <c r="D6">
        <f t="shared" si="5"/>
        <v>0</v>
      </c>
      <c r="E6">
        <f t="shared" si="5"/>
        <v>0</v>
      </c>
      <c r="F6">
        <f t="shared" si="5"/>
        <v>0</v>
      </c>
      <c r="G6">
        <f t="shared" si="5"/>
        <v>0</v>
      </c>
      <c r="H6">
        <f t="shared" si="5"/>
        <v>0</v>
      </c>
    </row>
    <row r="7" spans="1:8" x14ac:dyDescent="0.35">
      <c r="A7" s="1" t="s">
        <v>48</v>
      </c>
      <c r="C7">
        <f t="shared" ref="C7:H7" si="6">COUNTIF(C12:C27, 0)</f>
        <v>0</v>
      </c>
      <c r="D7">
        <f t="shared" si="6"/>
        <v>0</v>
      </c>
      <c r="E7">
        <f t="shared" si="6"/>
        <v>0</v>
      </c>
      <c r="F7">
        <f t="shared" si="6"/>
        <v>0</v>
      </c>
      <c r="G7">
        <f t="shared" si="6"/>
        <v>2</v>
      </c>
      <c r="H7">
        <f t="shared" si="6"/>
        <v>0</v>
      </c>
    </row>
    <row r="8" spans="1:8" x14ac:dyDescent="0.35">
      <c r="A8" s="1" t="s">
        <v>49</v>
      </c>
      <c r="C8">
        <f t="shared" ref="C8:H8" si="7">COUNTIF(C29:C61,0) + COUNTIF(C29:C61,1)</f>
        <v>0</v>
      </c>
      <c r="D8">
        <f t="shared" si="7"/>
        <v>0</v>
      </c>
      <c r="E8">
        <f t="shared" si="7"/>
        <v>0</v>
      </c>
      <c r="F8">
        <f t="shared" si="7"/>
        <v>0</v>
      </c>
      <c r="G8">
        <f t="shared" si="7"/>
        <v>0</v>
      </c>
      <c r="H8">
        <f t="shared" si="7"/>
        <v>0</v>
      </c>
    </row>
    <row r="9" spans="1:8" x14ac:dyDescent="0.35">
      <c r="A9" s="1" t="s">
        <v>50</v>
      </c>
      <c r="C9">
        <f t="shared" ref="C9:H9" si="8">COUNTIF(C29:C61,0)</f>
        <v>0</v>
      </c>
      <c r="D9">
        <f t="shared" si="8"/>
        <v>0</v>
      </c>
      <c r="E9">
        <f t="shared" si="8"/>
        <v>0</v>
      </c>
      <c r="F9">
        <f t="shared" si="8"/>
        <v>0</v>
      </c>
      <c r="G9">
        <f t="shared" si="8"/>
        <v>0</v>
      </c>
      <c r="H9">
        <f t="shared" si="8"/>
        <v>0</v>
      </c>
    </row>
    <row r="10" spans="1:8" s="3" customFormat="1" x14ac:dyDescent="0.35"/>
    <row r="11" spans="1:8" s="1" customFormat="1" x14ac:dyDescent="0.35">
      <c r="B11" s="5"/>
      <c r="C11" s="1" t="s">
        <v>3</v>
      </c>
      <c r="D11" s="1" t="s">
        <v>4</v>
      </c>
      <c r="E11" s="1" t="s">
        <v>5</v>
      </c>
      <c r="F11" s="1" t="s">
        <v>6</v>
      </c>
      <c r="G11" s="1" t="s">
        <v>7</v>
      </c>
      <c r="H11" s="1" t="s">
        <v>8</v>
      </c>
    </row>
    <row r="12" spans="1:8" x14ac:dyDescent="0.35">
      <c r="A12" s="1" t="s">
        <v>2</v>
      </c>
      <c r="B12" s="2" t="s">
        <v>51</v>
      </c>
      <c r="C12">
        <v>2</v>
      </c>
      <c r="D12">
        <v>2</v>
      </c>
      <c r="E12">
        <v>2</v>
      </c>
      <c r="F12">
        <v>2</v>
      </c>
      <c r="G12">
        <v>0</v>
      </c>
      <c r="H12">
        <v>2</v>
      </c>
    </row>
    <row r="13" spans="1:8" x14ac:dyDescent="0.35">
      <c r="A13" s="1"/>
      <c r="B13" s="2" t="s">
        <v>52</v>
      </c>
      <c r="C13">
        <v>2</v>
      </c>
      <c r="D13">
        <v>2</v>
      </c>
      <c r="E13">
        <v>2</v>
      </c>
      <c r="F13">
        <v>2</v>
      </c>
      <c r="G13">
        <v>0</v>
      </c>
      <c r="H13">
        <v>2</v>
      </c>
    </row>
    <row r="14" spans="1:8" x14ac:dyDescent="0.35">
      <c r="A14" s="5" t="s">
        <v>38</v>
      </c>
      <c r="B14" s="2" t="s">
        <v>53</v>
      </c>
      <c r="C14">
        <v>2</v>
      </c>
      <c r="D14">
        <v>2</v>
      </c>
      <c r="E14">
        <v>2</v>
      </c>
      <c r="F14">
        <v>2</v>
      </c>
      <c r="G14">
        <v>2</v>
      </c>
      <c r="H14">
        <v>2</v>
      </c>
    </row>
    <row r="15" spans="1:8" x14ac:dyDescent="0.35">
      <c r="B15" s="2" t="s">
        <v>54</v>
      </c>
      <c r="C15">
        <v>2</v>
      </c>
      <c r="D15">
        <v>2</v>
      </c>
      <c r="E15">
        <v>2</v>
      </c>
      <c r="F15">
        <v>2</v>
      </c>
      <c r="G15">
        <v>2</v>
      </c>
      <c r="H15">
        <v>2</v>
      </c>
    </row>
    <row r="16" spans="1:8" x14ac:dyDescent="0.35">
      <c r="A16" s="1"/>
    </row>
    <row r="17" spans="1:9" x14ac:dyDescent="0.35">
      <c r="A17" s="1"/>
    </row>
    <row r="18" spans="1:9" x14ac:dyDescent="0.35">
      <c r="A18" s="1"/>
    </row>
    <row r="19" spans="1:9" x14ac:dyDescent="0.35">
      <c r="A19" s="1"/>
    </row>
    <row r="20" spans="1:9" x14ac:dyDescent="0.35">
      <c r="A20" s="1"/>
    </row>
    <row r="21" spans="1:9" x14ac:dyDescent="0.35">
      <c r="A21" s="1"/>
    </row>
    <row r="22" spans="1:9" x14ac:dyDescent="0.35">
      <c r="A22" s="1"/>
    </row>
    <row r="24" spans="1:9" x14ac:dyDescent="0.35">
      <c r="A24" s="1"/>
    </row>
    <row r="25" spans="1:9" x14ac:dyDescent="0.35">
      <c r="A25" s="1"/>
    </row>
    <row r="26" spans="1:9" x14ac:dyDescent="0.35">
      <c r="A26" s="1"/>
    </row>
    <row r="27" spans="1:9" x14ac:dyDescent="0.35">
      <c r="A27" s="1"/>
    </row>
    <row r="28" spans="1:9" s="3" customFormat="1" x14ac:dyDescent="0.35">
      <c r="F28" s="4"/>
      <c r="G28" s="4"/>
      <c r="H28" s="4"/>
      <c r="I28" s="4"/>
    </row>
    <row r="62" spans="2:2" x14ac:dyDescent="0.35">
      <c r="B62" s="6"/>
    </row>
    <row r="68" spans="2:2" ht="15.5" x14ac:dyDescent="0.35">
      <c r="B68" s="8"/>
    </row>
    <row r="69" spans="2:2" ht="15.5" x14ac:dyDescent="0.35">
      <c r="B69" s="9"/>
    </row>
    <row r="70" spans="2:2" ht="15.5" x14ac:dyDescent="0.35">
      <c r="B70" s="8"/>
    </row>
    <row r="71" spans="2:2" ht="15.5" x14ac:dyDescent="0.35">
      <c r="B71" s="8"/>
    </row>
    <row r="72" spans="2:2" ht="15.5" x14ac:dyDescent="0.35">
      <c r="B72" s="9"/>
    </row>
    <row r="73" spans="2:2" ht="15.5" x14ac:dyDescent="0.35">
      <c r="B73" s="9"/>
    </row>
    <row r="74" spans="2:2" ht="15.5" x14ac:dyDescent="0.35">
      <c r="B74" s="8"/>
    </row>
    <row r="75" spans="2:2" x14ac:dyDescent="0.35">
      <c r="B75" s="6"/>
    </row>
  </sheetData>
  <conditionalFormatting sqref="C48:I54 C47:F47 H47:I47 G55 H56:H61 C12:I46">
    <cfRule type="iconSet" priority="3">
      <iconSet iconSet="3Symbols">
        <cfvo type="percent" val="0"/>
        <cfvo type="num" val="1"/>
        <cfvo type="num" val="2"/>
      </iconSet>
    </cfRule>
  </conditionalFormatting>
  <conditionalFormatting sqref="F48:I48 F29:I46 F47 H47:I47">
    <cfRule type="iconSet" priority="2">
      <iconSet iconSet="3Symbols">
        <cfvo type="percent" val="0"/>
        <cfvo type="num" val="1"/>
        <cfvo type="num" val="2"/>
      </iconSet>
    </cfRule>
  </conditionalFormatting>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3A1F3-3459-4BD7-BA2F-7F2C26F91312}">
  <dimension ref="A1:I75"/>
  <sheetViews>
    <sheetView workbookViewId="0">
      <selection activeCell="A39" sqref="A39:XFD49"/>
    </sheetView>
  </sheetViews>
  <sheetFormatPr defaultRowHeight="14.5" x14ac:dyDescent="0.35"/>
  <cols>
    <col min="1" max="1" width="28" customWidth="1"/>
    <col min="2" max="2" width="35.453125" style="2" customWidth="1"/>
    <col min="3" max="8" width="15.453125" customWidth="1"/>
  </cols>
  <sheetData>
    <row r="1" spans="1:8" x14ac:dyDescent="0.35">
      <c r="A1" s="1" t="s">
        <v>69</v>
      </c>
      <c r="C1">
        <f xml:space="preserve"> SUM(C5:C6) / (C5+ C6+ C9) * 100</f>
        <v>100</v>
      </c>
      <c r="D1">
        <f t="shared" ref="D1:H1" si="0" xml:space="preserve"> SUM(D5:D6) / (D5+ D6+ D9) * 100</f>
        <v>100</v>
      </c>
      <c r="E1">
        <f t="shared" si="0"/>
        <v>100</v>
      </c>
      <c r="F1">
        <f t="shared" si="0"/>
        <v>100</v>
      </c>
      <c r="G1">
        <f t="shared" si="0"/>
        <v>100</v>
      </c>
      <c r="H1">
        <f t="shared" si="0"/>
        <v>100</v>
      </c>
    </row>
    <row r="2" spans="1:8" x14ac:dyDescent="0.35">
      <c r="A2" s="1" t="s">
        <v>68</v>
      </c>
      <c r="C2">
        <f xml:space="preserve"> SUM(C5:C6) / SUM(C5:C7) *100</f>
        <v>100</v>
      </c>
      <c r="D2">
        <f t="shared" ref="D2:H2" si="1" xml:space="preserve"> SUM(D5:D6) / SUM(D5:D7) *100</f>
        <v>100</v>
      </c>
      <c r="E2">
        <f t="shared" si="1"/>
        <v>100</v>
      </c>
      <c r="F2">
        <f t="shared" si="1"/>
        <v>100</v>
      </c>
      <c r="G2">
        <f t="shared" si="1"/>
        <v>100</v>
      </c>
      <c r="H2">
        <f t="shared" si="1"/>
        <v>100</v>
      </c>
    </row>
    <row r="3" spans="1:8" x14ac:dyDescent="0.35">
      <c r="A3" s="1" t="s">
        <v>126</v>
      </c>
      <c r="C3">
        <f xml:space="preserve"> C5/ (C5+ C8) * 100</f>
        <v>100</v>
      </c>
      <c r="D3">
        <f t="shared" ref="D3:H3" si="2" xml:space="preserve"> D5/ (D5+ D8) * 100</f>
        <v>100</v>
      </c>
      <c r="E3">
        <f t="shared" si="2"/>
        <v>100</v>
      </c>
      <c r="F3">
        <f t="shared" si="2"/>
        <v>100</v>
      </c>
      <c r="G3">
        <f t="shared" si="2"/>
        <v>100</v>
      </c>
      <c r="H3">
        <f t="shared" si="2"/>
        <v>100</v>
      </c>
    </row>
    <row r="4" spans="1:8" x14ac:dyDescent="0.35">
      <c r="A4" s="1" t="s">
        <v>127</v>
      </c>
      <c r="C4">
        <f xml:space="preserve"> C5 / (C5+C7) *100</f>
        <v>100</v>
      </c>
      <c r="D4">
        <f t="shared" ref="D4:H4" si="3" xml:space="preserve"> D5 / (D5+D7) *100</f>
        <v>100</v>
      </c>
      <c r="E4">
        <f t="shared" si="3"/>
        <v>100</v>
      </c>
      <c r="F4">
        <f t="shared" si="3"/>
        <v>100</v>
      </c>
      <c r="G4">
        <f t="shared" si="3"/>
        <v>100</v>
      </c>
      <c r="H4">
        <f t="shared" si="3"/>
        <v>100</v>
      </c>
    </row>
    <row r="5" spans="1:8" x14ac:dyDescent="0.35">
      <c r="A5" s="1" t="s">
        <v>46</v>
      </c>
      <c r="C5" s="2">
        <f>COUNTIF(C12:C27, 2)</f>
        <v>3</v>
      </c>
      <c r="D5" s="2">
        <f t="shared" ref="D5:H5" si="4">COUNTIF(D12:D27, 2)</f>
        <v>3</v>
      </c>
      <c r="E5" s="2">
        <f t="shared" si="4"/>
        <v>3</v>
      </c>
      <c r="F5" s="2">
        <f t="shared" si="4"/>
        <v>3</v>
      </c>
      <c r="G5" s="2">
        <f t="shared" si="4"/>
        <v>3</v>
      </c>
      <c r="H5" s="2">
        <f t="shared" si="4"/>
        <v>3</v>
      </c>
    </row>
    <row r="6" spans="1:8" x14ac:dyDescent="0.35">
      <c r="A6" s="1" t="s">
        <v>47</v>
      </c>
      <c r="C6">
        <f>COUNTIF(C12:C27, 1)</f>
        <v>0</v>
      </c>
      <c r="D6">
        <f>COUNTIF(D12:D27, 1)</f>
        <v>0</v>
      </c>
      <c r="E6">
        <f t="shared" ref="E6:H6" si="5">COUNTIF(E12:E27, 1)</f>
        <v>0</v>
      </c>
      <c r="F6">
        <f t="shared" si="5"/>
        <v>0</v>
      </c>
      <c r="G6">
        <f t="shared" si="5"/>
        <v>0</v>
      </c>
      <c r="H6">
        <f t="shared" si="5"/>
        <v>0</v>
      </c>
    </row>
    <row r="7" spans="1:8" x14ac:dyDescent="0.35">
      <c r="A7" s="1" t="s">
        <v>48</v>
      </c>
      <c r="C7">
        <f>COUNTIF(C12:C27, 0)</f>
        <v>0</v>
      </c>
      <c r="D7">
        <f t="shared" ref="D7:H7" si="6">COUNTIF(D12:D27, 0)</f>
        <v>0</v>
      </c>
      <c r="E7">
        <f t="shared" si="6"/>
        <v>0</v>
      </c>
      <c r="F7">
        <f t="shared" si="6"/>
        <v>0</v>
      </c>
      <c r="G7">
        <f t="shared" si="6"/>
        <v>0</v>
      </c>
      <c r="H7">
        <f t="shared" si="6"/>
        <v>0</v>
      </c>
    </row>
    <row r="8" spans="1:8" x14ac:dyDescent="0.35">
      <c r="A8" s="1" t="s">
        <v>49</v>
      </c>
      <c r="C8">
        <f t="shared" ref="C8:H8" si="7">COUNTIF(C29:C61,0) + COUNTIF(C29:C61,1)</f>
        <v>0</v>
      </c>
      <c r="D8">
        <f t="shared" si="7"/>
        <v>0</v>
      </c>
      <c r="E8">
        <f t="shared" si="7"/>
        <v>0</v>
      </c>
      <c r="F8">
        <f t="shared" si="7"/>
        <v>0</v>
      </c>
      <c r="G8">
        <f t="shared" si="7"/>
        <v>0</v>
      </c>
      <c r="H8">
        <f t="shared" si="7"/>
        <v>0</v>
      </c>
    </row>
    <row r="9" spans="1:8" x14ac:dyDescent="0.35">
      <c r="A9" s="1" t="s">
        <v>50</v>
      </c>
      <c r="C9">
        <f t="shared" ref="C9:H9" si="8">COUNTIF(C29:C61,0)</f>
        <v>0</v>
      </c>
      <c r="D9">
        <f t="shared" si="8"/>
        <v>0</v>
      </c>
      <c r="E9">
        <f t="shared" si="8"/>
        <v>0</v>
      </c>
      <c r="F9">
        <f t="shared" si="8"/>
        <v>0</v>
      </c>
      <c r="G9">
        <f t="shared" si="8"/>
        <v>0</v>
      </c>
      <c r="H9">
        <f t="shared" si="8"/>
        <v>0</v>
      </c>
    </row>
    <row r="10" spans="1:8" s="3" customFormat="1" x14ac:dyDescent="0.35"/>
    <row r="11" spans="1:8" s="1" customFormat="1" x14ac:dyDescent="0.35">
      <c r="B11" s="5"/>
      <c r="C11" s="1" t="s">
        <v>3</v>
      </c>
      <c r="D11" s="1" t="s">
        <v>4</v>
      </c>
      <c r="E11" s="1" t="s">
        <v>5</v>
      </c>
      <c r="F11" s="1" t="s">
        <v>6</v>
      </c>
      <c r="G11" s="1" t="s">
        <v>7</v>
      </c>
      <c r="H11" s="1" t="s">
        <v>8</v>
      </c>
    </row>
    <row r="12" spans="1:8" x14ac:dyDescent="0.35">
      <c r="A12" s="1" t="s">
        <v>2</v>
      </c>
      <c r="B12" s="2" t="s">
        <v>70</v>
      </c>
      <c r="C12">
        <v>2</v>
      </c>
      <c r="D12">
        <v>2</v>
      </c>
      <c r="E12">
        <v>2</v>
      </c>
      <c r="F12">
        <v>2</v>
      </c>
      <c r="G12">
        <v>2</v>
      </c>
      <c r="H12">
        <v>2</v>
      </c>
    </row>
    <row r="13" spans="1:8" x14ac:dyDescent="0.35">
      <c r="A13" s="1"/>
      <c r="B13" s="2" t="s">
        <v>71</v>
      </c>
      <c r="C13">
        <v>2</v>
      </c>
      <c r="D13">
        <v>2</v>
      </c>
      <c r="E13">
        <v>2</v>
      </c>
      <c r="F13">
        <v>2</v>
      </c>
      <c r="G13">
        <v>2</v>
      </c>
      <c r="H13">
        <v>2</v>
      </c>
    </row>
    <row r="14" spans="1:8" x14ac:dyDescent="0.35">
      <c r="A14" s="1"/>
      <c r="B14" s="2" t="s">
        <v>72</v>
      </c>
      <c r="C14">
        <v>2</v>
      </c>
      <c r="D14">
        <v>2</v>
      </c>
      <c r="E14">
        <v>2</v>
      </c>
      <c r="F14">
        <v>2</v>
      </c>
      <c r="G14">
        <v>2</v>
      </c>
      <c r="H14">
        <v>2</v>
      </c>
    </row>
    <row r="15" spans="1:8" x14ac:dyDescent="0.35">
      <c r="A15" s="1"/>
    </row>
    <row r="16" spans="1:8" x14ac:dyDescent="0.35">
      <c r="A16" s="1"/>
    </row>
    <row r="17" spans="1:9" x14ac:dyDescent="0.35">
      <c r="A17" s="1"/>
    </row>
    <row r="18" spans="1:9" x14ac:dyDescent="0.35">
      <c r="A18" s="1"/>
    </row>
    <row r="19" spans="1:9" x14ac:dyDescent="0.35">
      <c r="A19" s="1"/>
    </row>
    <row r="20" spans="1:9" x14ac:dyDescent="0.35">
      <c r="A20" s="1"/>
    </row>
    <row r="21" spans="1:9" x14ac:dyDescent="0.35">
      <c r="A21" s="1"/>
    </row>
    <row r="22" spans="1:9" x14ac:dyDescent="0.35">
      <c r="A22" s="1"/>
    </row>
    <row r="25" spans="1:9" x14ac:dyDescent="0.35">
      <c r="A25" s="1"/>
    </row>
    <row r="26" spans="1:9" x14ac:dyDescent="0.35">
      <c r="A26" s="1"/>
    </row>
    <row r="27" spans="1:9" x14ac:dyDescent="0.35">
      <c r="A27" s="1"/>
    </row>
    <row r="28" spans="1:9" s="3" customFormat="1" x14ac:dyDescent="0.35">
      <c r="F28" s="4"/>
      <c r="G28" s="4"/>
      <c r="H28" s="4"/>
      <c r="I28" s="4"/>
    </row>
    <row r="62" spans="2:2" x14ac:dyDescent="0.35">
      <c r="B62" s="6"/>
    </row>
    <row r="68" spans="2:2" ht="15.5" x14ac:dyDescent="0.35">
      <c r="B68" s="8"/>
    </row>
    <row r="69" spans="2:2" ht="15.5" x14ac:dyDescent="0.35">
      <c r="B69" s="9"/>
    </row>
    <row r="70" spans="2:2" ht="15.5" x14ac:dyDescent="0.35">
      <c r="B70" s="8"/>
    </row>
    <row r="71" spans="2:2" ht="15.5" x14ac:dyDescent="0.35">
      <c r="B71" s="8"/>
    </row>
    <row r="72" spans="2:2" ht="15.5" x14ac:dyDescent="0.35">
      <c r="B72" s="9"/>
    </row>
    <row r="73" spans="2:2" ht="15.5" x14ac:dyDescent="0.35">
      <c r="B73" s="9"/>
    </row>
    <row r="74" spans="2:2" ht="15.5" x14ac:dyDescent="0.35">
      <c r="B74" s="8"/>
    </row>
    <row r="75" spans="2:2" x14ac:dyDescent="0.35">
      <c r="B75" s="6"/>
    </row>
  </sheetData>
  <conditionalFormatting sqref="C48:I54 C47:F47 H47:I47 G55 H56:H61 C12:I46">
    <cfRule type="iconSet" priority="3">
      <iconSet iconSet="3Symbols">
        <cfvo type="percent" val="0"/>
        <cfvo type="num" val="1"/>
        <cfvo type="num" val="2"/>
      </iconSet>
    </cfRule>
  </conditionalFormatting>
  <conditionalFormatting sqref="F48:I48 F47 H47:I47 F29:I46">
    <cfRule type="iconSet" priority="2">
      <iconSet iconSet="3Symbols">
        <cfvo type="percent" val="0"/>
        <cfvo type="num" val="1"/>
        <cfvo type="num" val="2"/>
      </iconSet>
    </cfRule>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5FF39-550F-43E2-AD72-0EC5C79F36EB}">
  <dimension ref="A1:I74"/>
  <sheetViews>
    <sheetView zoomScale="79" workbookViewId="0">
      <selection activeCell="A23" sqref="A23:XFD33"/>
    </sheetView>
  </sheetViews>
  <sheetFormatPr defaultRowHeight="14.5" x14ac:dyDescent="0.35"/>
  <cols>
    <col min="1" max="1" width="28" customWidth="1"/>
    <col min="2" max="2" width="35.453125" style="2" customWidth="1"/>
    <col min="3" max="8" width="15.453125" customWidth="1"/>
  </cols>
  <sheetData>
    <row r="1" spans="1:8" x14ac:dyDescent="0.35">
      <c r="A1" s="1" t="s">
        <v>69</v>
      </c>
      <c r="C1">
        <f xml:space="preserve"> SUM(C5:C6) / (C5+ C6+ C9) * 100</f>
        <v>100</v>
      </c>
      <c r="D1">
        <f t="shared" ref="D1:H1" si="0" xml:space="preserve"> SUM(D5:D6) / (D5+ D6+ D9) * 100</f>
        <v>100</v>
      </c>
      <c r="E1">
        <f t="shared" si="0"/>
        <v>100</v>
      </c>
      <c r="F1">
        <f t="shared" si="0"/>
        <v>100</v>
      </c>
      <c r="G1">
        <f t="shared" si="0"/>
        <v>100</v>
      </c>
      <c r="H1">
        <f t="shared" si="0"/>
        <v>100</v>
      </c>
    </row>
    <row r="2" spans="1:8" x14ac:dyDescent="0.35">
      <c r="A2" s="1" t="s">
        <v>68</v>
      </c>
      <c r="C2">
        <f xml:space="preserve"> SUM(C5:C6) / SUM(C5:C7) *100</f>
        <v>100</v>
      </c>
      <c r="D2">
        <f t="shared" ref="D2:H2" si="1" xml:space="preserve"> SUM(D5:D6) / SUM(D5:D7) *100</f>
        <v>100</v>
      </c>
      <c r="E2">
        <f t="shared" si="1"/>
        <v>100</v>
      </c>
      <c r="F2">
        <f t="shared" si="1"/>
        <v>100</v>
      </c>
      <c r="G2">
        <f t="shared" si="1"/>
        <v>100</v>
      </c>
      <c r="H2">
        <f t="shared" si="1"/>
        <v>100</v>
      </c>
    </row>
    <row r="3" spans="1:8" x14ac:dyDescent="0.35">
      <c r="A3" s="1" t="s">
        <v>126</v>
      </c>
      <c r="C3">
        <f xml:space="preserve"> C5/ (C5+ C8) * 100</f>
        <v>100</v>
      </c>
      <c r="D3">
        <f t="shared" ref="D3:H3" si="2" xml:space="preserve"> D5/ (D5+ D8) * 100</f>
        <v>100</v>
      </c>
      <c r="E3">
        <f t="shared" si="2"/>
        <v>100</v>
      </c>
      <c r="F3">
        <f t="shared" si="2"/>
        <v>80</v>
      </c>
      <c r="G3">
        <f t="shared" si="2"/>
        <v>80</v>
      </c>
      <c r="H3">
        <f t="shared" si="2"/>
        <v>100</v>
      </c>
    </row>
    <row r="4" spans="1:8" x14ac:dyDescent="0.35">
      <c r="A4" s="1" t="s">
        <v>127</v>
      </c>
      <c r="C4">
        <f xml:space="preserve"> C5 / (C5+C7) *100</f>
        <v>100</v>
      </c>
      <c r="D4">
        <f t="shared" ref="D4:H4" si="3" xml:space="preserve"> D5 / (D5+D7) *100</f>
        <v>100</v>
      </c>
      <c r="E4">
        <f t="shared" si="3"/>
        <v>100</v>
      </c>
      <c r="F4">
        <f t="shared" si="3"/>
        <v>100</v>
      </c>
      <c r="G4">
        <f t="shared" si="3"/>
        <v>100</v>
      </c>
      <c r="H4">
        <f t="shared" si="3"/>
        <v>100</v>
      </c>
    </row>
    <row r="5" spans="1:8" x14ac:dyDescent="0.35">
      <c r="A5" s="1" t="s">
        <v>46</v>
      </c>
      <c r="C5" s="2">
        <f>COUNTIF(C12:C27, 2)</f>
        <v>4</v>
      </c>
      <c r="D5" s="2">
        <f t="shared" ref="D5:H5" si="4">COUNTIF(D12:D27, 2)</f>
        <v>4</v>
      </c>
      <c r="E5" s="2">
        <f t="shared" si="4"/>
        <v>4</v>
      </c>
      <c r="F5" s="2">
        <f t="shared" si="4"/>
        <v>4</v>
      </c>
      <c r="G5" s="2">
        <f t="shared" si="4"/>
        <v>4</v>
      </c>
      <c r="H5" s="2">
        <f t="shared" si="4"/>
        <v>4</v>
      </c>
    </row>
    <row r="6" spans="1:8" x14ac:dyDescent="0.35">
      <c r="A6" s="1" t="s">
        <v>47</v>
      </c>
      <c r="C6">
        <f>COUNTIF(C12:C27, 1)</f>
        <v>0</v>
      </c>
      <c r="D6">
        <f t="shared" ref="D6:H6" si="5">COUNTIF(D12:D27, 1)</f>
        <v>0</v>
      </c>
      <c r="E6">
        <f t="shared" si="5"/>
        <v>0</v>
      </c>
      <c r="F6">
        <f t="shared" si="5"/>
        <v>0</v>
      </c>
      <c r="G6">
        <f t="shared" si="5"/>
        <v>0</v>
      </c>
      <c r="H6">
        <f t="shared" si="5"/>
        <v>0</v>
      </c>
    </row>
    <row r="7" spans="1:8" x14ac:dyDescent="0.35">
      <c r="A7" s="1" t="s">
        <v>48</v>
      </c>
      <c r="C7">
        <f>COUNTIF(C12:C27, 0)</f>
        <v>0</v>
      </c>
      <c r="D7">
        <f t="shared" ref="D7:H7" si="6">COUNTIF(D12:D27, 0)</f>
        <v>0</v>
      </c>
      <c r="E7">
        <f t="shared" si="6"/>
        <v>0</v>
      </c>
      <c r="F7">
        <f t="shared" si="6"/>
        <v>0</v>
      </c>
      <c r="G7">
        <f t="shared" si="6"/>
        <v>0</v>
      </c>
      <c r="H7">
        <f t="shared" si="6"/>
        <v>0</v>
      </c>
    </row>
    <row r="8" spans="1:8" x14ac:dyDescent="0.35">
      <c r="A8" s="1" t="s">
        <v>49</v>
      </c>
      <c r="C8">
        <f t="shared" ref="C8:H8" si="7">COUNTIF(C29:C60,0) + COUNTIF(C29:C60,1)</f>
        <v>0</v>
      </c>
      <c r="D8">
        <f t="shared" si="7"/>
        <v>0</v>
      </c>
      <c r="E8">
        <f t="shared" si="7"/>
        <v>0</v>
      </c>
      <c r="F8">
        <f t="shared" si="7"/>
        <v>1</v>
      </c>
      <c r="G8">
        <f t="shared" si="7"/>
        <v>1</v>
      </c>
      <c r="H8">
        <f t="shared" si="7"/>
        <v>0</v>
      </c>
    </row>
    <row r="9" spans="1:8" x14ac:dyDescent="0.35">
      <c r="A9" s="1" t="s">
        <v>50</v>
      </c>
      <c r="C9">
        <f t="shared" ref="C9:H9" si="8">COUNTIF(C29:C60,0)</f>
        <v>0</v>
      </c>
      <c r="D9">
        <f t="shared" si="8"/>
        <v>0</v>
      </c>
      <c r="E9">
        <f t="shared" si="8"/>
        <v>0</v>
      </c>
      <c r="F9">
        <f t="shared" si="8"/>
        <v>0</v>
      </c>
      <c r="G9">
        <f t="shared" si="8"/>
        <v>0</v>
      </c>
      <c r="H9">
        <f t="shared" si="8"/>
        <v>0</v>
      </c>
    </row>
    <row r="10" spans="1:8" s="3" customFormat="1" x14ac:dyDescent="0.35"/>
    <row r="11" spans="1:8" s="1" customFormat="1" x14ac:dyDescent="0.35">
      <c r="B11" s="5"/>
      <c r="C11" s="1" t="s">
        <v>3</v>
      </c>
      <c r="D11" s="1" t="s">
        <v>4</v>
      </c>
      <c r="E11" s="1" t="s">
        <v>5</v>
      </c>
      <c r="F11" s="1" t="s">
        <v>6</v>
      </c>
      <c r="G11" s="1" t="s">
        <v>7</v>
      </c>
      <c r="H11" s="1" t="s">
        <v>8</v>
      </c>
    </row>
    <row r="12" spans="1:8" x14ac:dyDescent="0.35">
      <c r="A12" s="1" t="s">
        <v>2</v>
      </c>
      <c r="B12" s="2" t="s">
        <v>73</v>
      </c>
      <c r="C12">
        <v>2</v>
      </c>
      <c r="D12">
        <v>2</v>
      </c>
      <c r="E12">
        <v>2</v>
      </c>
      <c r="F12">
        <v>2</v>
      </c>
      <c r="G12">
        <v>2</v>
      </c>
      <c r="H12">
        <v>2</v>
      </c>
    </row>
    <row r="13" spans="1:8" x14ac:dyDescent="0.35">
      <c r="A13" s="1" t="s">
        <v>74</v>
      </c>
      <c r="B13" s="2" t="s">
        <v>75</v>
      </c>
      <c r="C13">
        <v>2</v>
      </c>
      <c r="D13">
        <v>2</v>
      </c>
      <c r="E13">
        <v>2</v>
      </c>
      <c r="F13">
        <v>2</v>
      </c>
      <c r="G13">
        <v>2</v>
      </c>
      <c r="H13">
        <v>2</v>
      </c>
    </row>
    <row r="14" spans="1:8" x14ac:dyDescent="0.35">
      <c r="A14" s="1"/>
      <c r="B14" s="2" t="s">
        <v>76</v>
      </c>
      <c r="C14">
        <v>2</v>
      </c>
      <c r="D14">
        <v>2</v>
      </c>
      <c r="E14">
        <v>2</v>
      </c>
      <c r="F14">
        <v>2</v>
      </c>
      <c r="G14">
        <v>2</v>
      </c>
      <c r="H14">
        <v>2</v>
      </c>
    </row>
    <row r="15" spans="1:8" x14ac:dyDescent="0.35">
      <c r="A15" s="1"/>
      <c r="B15" s="2" t="s">
        <v>77</v>
      </c>
      <c r="C15">
        <v>2</v>
      </c>
      <c r="D15">
        <v>2</v>
      </c>
      <c r="E15">
        <v>2</v>
      </c>
      <c r="F15">
        <v>2</v>
      </c>
      <c r="G15">
        <v>2</v>
      </c>
      <c r="H15">
        <v>2</v>
      </c>
    </row>
    <row r="16" spans="1:8" x14ac:dyDescent="0.35">
      <c r="A16" s="1"/>
    </row>
    <row r="17" spans="1:9" x14ac:dyDescent="0.35">
      <c r="A17" s="1"/>
    </row>
    <row r="18" spans="1:9" x14ac:dyDescent="0.35">
      <c r="A18" s="1"/>
    </row>
    <row r="19" spans="1:9" x14ac:dyDescent="0.35">
      <c r="A19" s="1"/>
    </row>
    <row r="20" spans="1:9" x14ac:dyDescent="0.35">
      <c r="A20" s="1"/>
    </row>
    <row r="21" spans="1:9" x14ac:dyDescent="0.35">
      <c r="A21" s="1"/>
    </row>
    <row r="22" spans="1:9" x14ac:dyDescent="0.35">
      <c r="A22" s="1"/>
    </row>
    <row r="23" spans="1:9" x14ac:dyDescent="0.35">
      <c r="A23" s="1"/>
    </row>
    <row r="24" spans="1:9" x14ac:dyDescent="0.35">
      <c r="A24" s="1"/>
    </row>
    <row r="25" spans="1:9" x14ac:dyDescent="0.35">
      <c r="A25" s="1"/>
    </row>
    <row r="26" spans="1:9" x14ac:dyDescent="0.35">
      <c r="A26" s="1"/>
    </row>
    <row r="27" spans="1:9" x14ac:dyDescent="0.35">
      <c r="A27" s="1"/>
    </row>
    <row r="28" spans="1:9" s="3" customFormat="1" x14ac:dyDescent="0.35">
      <c r="F28" s="4"/>
      <c r="G28" s="4"/>
      <c r="H28" s="4"/>
      <c r="I28" s="4"/>
    </row>
    <row r="34" spans="2:7" x14ac:dyDescent="0.35">
      <c r="B34" s="2" t="s">
        <v>78</v>
      </c>
      <c r="F34">
        <v>1</v>
      </c>
      <c r="G34">
        <v>1</v>
      </c>
    </row>
    <row r="61" spans="2:2" x14ac:dyDescent="0.35">
      <c r="B61" s="6"/>
    </row>
    <row r="67" spans="2:2" ht="15.5" x14ac:dyDescent="0.35">
      <c r="B67" s="8"/>
    </row>
    <row r="68" spans="2:2" ht="15.5" x14ac:dyDescent="0.35">
      <c r="B68" s="9"/>
    </row>
    <row r="69" spans="2:2" ht="15.5" x14ac:dyDescent="0.35">
      <c r="B69" s="8"/>
    </row>
    <row r="70" spans="2:2" ht="15.5" x14ac:dyDescent="0.35">
      <c r="B70" s="8"/>
    </row>
    <row r="71" spans="2:2" ht="15.5" x14ac:dyDescent="0.35">
      <c r="B71" s="9"/>
    </row>
    <row r="72" spans="2:2" ht="15.5" x14ac:dyDescent="0.35">
      <c r="B72" s="9"/>
    </row>
    <row r="73" spans="2:2" ht="15.5" x14ac:dyDescent="0.35">
      <c r="B73" s="8"/>
    </row>
    <row r="74" spans="2:2" x14ac:dyDescent="0.35">
      <c r="B74" s="6"/>
    </row>
  </sheetData>
  <conditionalFormatting sqref="C47:I53 C46:F46 H46:I46 G54 H55:H60 C12:I45">
    <cfRule type="iconSet" priority="2">
      <iconSet iconSet="3Symbols">
        <cfvo type="percent" val="0"/>
        <cfvo type="num" val="1"/>
        <cfvo type="num" val="2"/>
      </iconSet>
    </cfRule>
  </conditionalFormatting>
  <conditionalFormatting sqref="F47:I47 F46 H46:I46 F29:I45">
    <cfRule type="iconSet" priority="1">
      <iconSet iconSet="3Symbols">
        <cfvo type="percent" val="0"/>
        <cfvo type="num" val="1"/>
        <cfvo type="num" val="2"/>
      </iconSet>
    </cfRule>
  </conditionalFormatting>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D318E-71E3-410B-8768-C51DD3E82D8B}">
  <dimension ref="A1:I88"/>
  <sheetViews>
    <sheetView zoomScale="73" workbookViewId="0">
      <selection activeCell="H3" sqref="H3"/>
    </sheetView>
  </sheetViews>
  <sheetFormatPr defaultRowHeight="14.5" x14ac:dyDescent="0.35"/>
  <cols>
    <col min="1" max="1" width="28" customWidth="1"/>
    <col min="2" max="2" width="35.453125" style="2" customWidth="1"/>
    <col min="3" max="8" width="15.453125" customWidth="1"/>
  </cols>
  <sheetData>
    <row r="1" spans="1:8" x14ac:dyDescent="0.35">
      <c r="A1" s="1" t="s">
        <v>69</v>
      </c>
      <c r="C1">
        <f xml:space="preserve"> SUM(C5:C6) / (C5+ C6+ C9) * 100</f>
        <v>100</v>
      </c>
      <c r="D1">
        <f t="shared" ref="D1:F1" si="0" xml:space="preserve"> SUM(D5:D6) / (D5+ D6+ D9) * 100</f>
        <v>100</v>
      </c>
      <c r="E1">
        <f t="shared" si="0"/>
        <v>100</v>
      </c>
      <c r="F1">
        <f t="shared" si="0"/>
        <v>100</v>
      </c>
      <c r="G1">
        <f>IF(G5 + G6 + G9 = 0, 0, SUM(G5:G6) / (G5 + G6 + G9) * 100)</f>
        <v>0</v>
      </c>
      <c r="H1">
        <f>IF(H5 + H6 + H9 = 0, 0, SUM(H5:H6) / (H5 + H6 + H9) * 100)</f>
        <v>0</v>
      </c>
    </row>
    <row r="2" spans="1:8" x14ac:dyDescent="0.35">
      <c r="A2" s="1" t="s">
        <v>68</v>
      </c>
      <c r="C2">
        <f>IF(SUM(C5:C7)=0, 0, SUM(C5:C6)/SUM(C5:C7)*100)</f>
        <v>100</v>
      </c>
      <c r="D2">
        <f t="shared" ref="D2:H2" si="1">IF(SUM(D5:D7)=0, 0, SUM(D5:D6)/SUM(D5:D7)*100)</f>
        <v>83.333333333333343</v>
      </c>
      <c r="E2">
        <f t="shared" si="1"/>
        <v>83.333333333333343</v>
      </c>
      <c r="F2">
        <f t="shared" si="1"/>
        <v>33.333333333333329</v>
      </c>
      <c r="G2">
        <f t="shared" si="1"/>
        <v>0</v>
      </c>
      <c r="H2">
        <f t="shared" si="1"/>
        <v>0</v>
      </c>
    </row>
    <row r="3" spans="1:8" x14ac:dyDescent="0.35">
      <c r="A3" s="1" t="s">
        <v>126</v>
      </c>
      <c r="C3">
        <f xml:space="preserve"> C5/ (C5+ C8) * 100</f>
        <v>100</v>
      </c>
      <c r="D3">
        <f t="shared" ref="D3:F3" si="2" xml:space="preserve"> D5/ (D5+ D8) * 100</f>
        <v>100</v>
      </c>
      <c r="E3">
        <f t="shared" si="2"/>
        <v>100</v>
      </c>
      <c r="F3">
        <f t="shared" si="2"/>
        <v>100</v>
      </c>
      <c r="G3">
        <f>IF(G5 + G8 = 0, 0, G5 / (G5 + G8) * 100)</f>
        <v>0</v>
      </c>
      <c r="H3">
        <f>IF(H5 + H8 = 0, 0, H5 / (H5 + H8) * 100)</f>
        <v>0</v>
      </c>
    </row>
    <row r="4" spans="1:8" x14ac:dyDescent="0.35">
      <c r="A4" s="1" t="s">
        <v>127</v>
      </c>
      <c r="C4">
        <f>IF(C5 + C7 = 0, 0, C5 / (C5 + C7) * 100)</f>
        <v>100</v>
      </c>
      <c r="D4">
        <f t="shared" ref="D4:H4" si="3">IF(D5 + D7 = 0, 0, D5 / (D5 + D7) * 100)</f>
        <v>83.333333333333343</v>
      </c>
      <c r="E4">
        <f t="shared" si="3"/>
        <v>83.333333333333343</v>
      </c>
      <c r="F4">
        <f t="shared" si="3"/>
        <v>33.333333333333329</v>
      </c>
      <c r="G4">
        <f t="shared" si="3"/>
        <v>0</v>
      </c>
      <c r="H4">
        <f t="shared" si="3"/>
        <v>0</v>
      </c>
    </row>
    <row r="5" spans="1:8" x14ac:dyDescent="0.35">
      <c r="A5" s="1" t="s">
        <v>46</v>
      </c>
      <c r="C5" s="2">
        <f>COUNTIF(C12:C40, 2)</f>
        <v>6</v>
      </c>
      <c r="D5" s="2">
        <f t="shared" ref="D5:H5" si="4">COUNTIF(D12:D40, 2)</f>
        <v>5</v>
      </c>
      <c r="E5" s="2">
        <f t="shared" si="4"/>
        <v>5</v>
      </c>
      <c r="F5" s="2">
        <f t="shared" si="4"/>
        <v>2</v>
      </c>
      <c r="G5" s="2">
        <f t="shared" si="4"/>
        <v>0</v>
      </c>
      <c r="H5" s="2">
        <f t="shared" si="4"/>
        <v>0</v>
      </c>
    </row>
    <row r="6" spans="1:8" x14ac:dyDescent="0.35">
      <c r="A6" s="1" t="s">
        <v>47</v>
      </c>
      <c r="C6">
        <f>COUNTIF(C12:C40, 1)</f>
        <v>0</v>
      </c>
      <c r="D6">
        <f t="shared" ref="D6:H6" si="5">COUNTIF(D12:D40, 1)</f>
        <v>0</v>
      </c>
      <c r="E6">
        <f t="shared" si="5"/>
        <v>0</v>
      </c>
      <c r="F6">
        <f t="shared" si="5"/>
        <v>0</v>
      </c>
      <c r="G6">
        <f t="shared" si="5"/>
        <v>0</v>
      </c>
      <c r="H6">
        <f t="shared" si="5"/>
        <v>0</v>
      </c>
    </row>
    <row r="7" spans="1:8" x14ac:dyDescent="0.35">
      <c r="A7" s="1" t="s">
        <v>48</v>
      </c>
      <c r="C7">
        <f>COUNTIF(C12:C40, 0)</f>
        <v>0</v>
      </c>
      <c r="D7">
        <f t="shared" ref="D7:H7" si="6">COUNTIF(D12:D40, 0)</f>
        <v>1</v>
      </c>
      <c r="E7">
        <f t="shared" si="6"/>
        <v>1</v>
      </c>
      <c r="F7">
        <f t="shared" si="6"/>
        <v>4</v>
      </c>
      <c r="G7">
        <f t="shared" si="6"/>
        <v>6</v>
      </c>
      <c r="H7">
        <f t="shared" si="6"/>
        <v>6</v>
      </c>
    </row>
    <row r="8" spans="1:8" x14ac:dyDescent="0.35">
      <c r="A8" s="1" t="s">
        <v>49</v>
      </c>
      <c r="C8">
        <f t="shared" ref="C8:H8" si="7">COUNTIF(C42:C74,0) + COUNTIF(C42:C74,1)</f>
        <v>0</v>
      </c>
      <c r="D8">
        <f t="shared" si="7"/>
        <v>0</v>
      </c>
      <c r="E8">
        <f t="shared" si="7"/>
        <v>0</v>
      </c>
      <c r="F8">
        <f t="shared" ref="F8" si="8">COUNTIF(F42:F74,0) + COUNTIF(F42:F74,1)</f>
        <v>0</v>
      </c>
      <c r="G8">
        <f t="shared" si="7"/>
        <v>0</v>
      </c>
      <c r="H8">
        <f t="shared" si="7"/>
        <v>0</v>
      </c>
    </row>
    <row r="9" spans="1:8" x14ac:dyDescent="0.35">
      <c r="A9" s="1" t="s">
        <v>50</v>
      </c>
      <c r="C9">
        <f t="shared" ref="C9:H9" si="9">COUNTIF(C42:C74,0)</f>
        <v>0</v>
      </c>
      <c r="D9">
        <f t="shared" si="9"/>
        <v>0</v>
      </c>
      <c r="E9">
        <f t="shared" si="9"/>
        <v>0</v>
      </c>
      <c r="F9">
        <f t="shared" ref="F9" si="10">COUNTIF(F42:F74,0)</f>
        <v>0</v>
      </c>
      <c r="G9">
        <f t="shared" si="9"/>
        <v>0</v>
      </c>
      <c r="H9">
        <f t="shared" si="9"/>
        <v>0</v>
      </c>
    </row>
    <row r="10" spans="1:8" s="3" customFormat="1" x14ac:dyDescent="0.35"/>
    <row r="11" spans="1:8" s="1" customFormat="1" x14ac:dyDescent="0.35">
      <c r="B11" s="5"/>
      <c r="C11" s="1" t="s">
        <v>3</v>
      </c>
      <c r="D11" s="1" t="s">
        <v>4</v>
      </c>
      <c r="E11" s="1" t="s">
        <v>5</v>
      </c>
      <c r="F11" s="1" t="s">
        <v>6</v>
      </c>
      <c r="G11" s="1" t="s">
        <v>7</v>
      </c>
      <c r="H11" s="1" t="s">
        <v>8</v>
      </c>
    </row>
    <row r="12" spans="1:8" x14ac:dyDescent="0.35">
      <c r="A12" s="1" t="s">
        <v>84</v>
      </c>
      <c r="B12" s="2" t="s">
        <v>79</v>
      </c>
      <c r="C12">
        <v>2</v>
      </c>
      <c r="D12">
        <v>2</v>
      </c>
      <c r="E12">
        <v>2</v>
      </c>
      <c r="F12">
        <v>0</v>
      </c>
      <c r="G12">
        <v>0</v>
      </c>
      <c r="H12">
        <v>0</v>
      </c>
    </row>
    <row r="13" spans="1:8" x14ac:dyDescent="0.35">
      <c r="A13" s="1"/>
      <c r="B13" s="2" t="s">
        <v>80</v>
      </c>
      <c r="C13">
        <v>2</v>
      </c>
      <c r="D13">
        <v>2</v>
      </c>
      <c r="E13">
        <v>2</v>
      </c>
      <c r="F13">
        <v>0</v>
      </c>
      <c r="G13">
        <v>0</v>
      </c>
      <c r="H13">
        <v>0</v>
      </c>
    </row>
    <row r="14" spans="1:8" x14ac:dyDescent="0.35">
      <c r="A14" s="1"/>
      <c r="B14" s="2" t="s">
        <v>85</v>
      </c>
      <c r="C14">
        <v>2</v>
      </c>
      <c r="D14">
        <v>2</v>
      </c>
      <c r="E14">
        <v>2</v>
      </c>
      <c r="F14">
        <v>2</v>
      </c>
      <c r="G14">
        <v>0</v>
      </c>
      <c r="H14">
        <v>0</v>
      </c>
    </row>
    <row r="15" spans="1:8" x14ac:dyDescent="0.35">
      <c r="A15" s="1"/>
      <c r="B15" s="2" t="s">
        <v>81</v>
      </c>
      <c r="C15">
        <v>2</v>
      </c>
      <c r="D15">
        <v>2</v>
      </c>
      <c r="E15">
        <v>2</v>
      </c>
      <c r="F15">
        <v>2</v>
      </c>
      <c r="G15">
        <v>0</v>
      </c>
      <c r="H15">
        <v>0</v>
      </c>
    </row>
    <row r="16" spans="1:8" x14ac:dyDescent="0.35">
      <c r="A16" s="1"/>
      <c r="B16" s="2" t="s">
        <v>83</v>
      </c>
      <c r="C16">
        <v>2</v>
      </c>
      <c r="D16">
        <v>2</v>
      </c>
      <c r="E16">
        <v>2</v>
      </c>
      <c r="F16">
        <v>0</v>
      </c>
      <c r="G16">
        <v>0</v>
      </c>
      <c r="H16">
        <v>0</v>
      </c>
    </row>
    <row r="17" spans="1:8" x14ac:dyDescent="0.35">
      <c r="A17" s="1"/>
      <c r="B17" s="2" t="s">
        <v>82</v>
      </c>
      <c r="C17">
        <v>2</v>
      </c>
      <c r="D17">
        <v>0</v>
      </c>
      <c r="E17">
        <v>0</v>
      </c>
      <c r="F17">
        <v>0</v>
      </c>
      <c r="G17">
        <v>0</v>
      </c>
      <c r="H17">
        <v>0</v>
      </c>
    </row>
    <row r="18" spans="1:8" x14ac:dyDescent="0.35">
      <c r="A18" s="1"/>
    </row>
    <row r="19" spans="1:8" x14ac:dyDescent="0.35">
      <c r="A19" s="1"/>
    </row>
    <row r="20" spans="1:8" x14ac:dyDescent="0.35">
      <c r="A20" s="1"/>
    </row>
    <row r="21" spans="1:8" x14ac:dyDescent="0.35">
      <c r="A21" s="1"/>
    </row>
    <row r="22" spans="1:8" x14ac:dyDescent="0.35">
      <c r="A22" s="1"/>
    </row>
    <row r="23" spans="1:8" x14ac:dyDescent="0.35">
      <c r="A23" s="1"/>
    </row>
    <row r="24" spans="1:8" x14ac:dyDescent="0.35">
      <c r="A24" s="1"/>
    </row>
    <row r="25" spans="1:8" x14ac:dyDescent="0.35">
      <c r="A25" s="1"/>
    </row>
    <row r="34" spans="1:9" x14ac:dyDescent="0.35">
      <c r="A34" s="1"/>
    </row>
    <row r="35" spans="1:9" x14ac:dyDescent="0.35">
      <c r="A35" s="1"/>
    </row>
    <row r="36" spans="1:9" x14ac:dyDescent="0.35">
      <c r="A36" s="1"/>
    </row>
    <row r="37" spans="1:9" x14ac:dyDescent="0.35">
      <c r="A37" s="1"/>
    </row>
    <row r="38" spans="1:9" x14ac:dyDescent="0.35">
      <c r="A38" s="1"/>
    </row>
    <row r="39" spans="1:9" x14ac:dyDescent="0.35">
      <c r="A39" s="1"/>
    </row>
    <row r="40" spans="1:9" x14ac:dyDescent="0.35">
      <c r="A40" s="1"/>
    </row>
    <row r="41" spans="1:9" s="3" customFormat="1" x14ac:dyDescent="0.35">
      <c r="F41" s="4"/>
      <c r="G41" s="4"/>
      <c r="H41" s="4"/>
      <c r="I41" s="4"/>
    </row>
    <row r="75" spans="2:2" x14ac:dyDescent="0.35">
      <c r="B75" s="6"/>
    </row>
    <row r="81" spans="2:2" ht="15.5" x14ac:dyDescent="0.35">
      <c r="B81" s="8"/>
    </row>
    <row r="82" spans="2:2" ht="15.5" x14ac:dyDescent="0.35">
      <c r="B82" s="9"/>
    </row>
    <row r="83" spans="2:2" ht="15.5" x14ac:dyDescent="0.35">
      <c r="B83" s="8"/>
    </row>
    <row r="84" spans="2:2" ht="15.5" x14ac:dyDescent="0.35">
      <c r="B84" s="8"/>
    </row>
    <row r="85" spans="2:2" ht="15.5" x14ac:dyDescent="0.35">
      <c r="B85" s="9"/>
    </row>
    <row r="86" spans="2:2" ht="15.5" x14ac:dyDescent="0.35">
      <c r="B86" s="9"/>
    </row>
    <row r="87" spans="2:2" ht="15.5" x14ac:dyDescent="0.35">
      <c r="B87" s="8"/>
    </row>
    <row r="88" spans="2:2" x14ac:dyDescent="0.35">
      <c r="B88" s="6"/>
    </row>
  </sheetData>
  <conditionalFormatting sqref="C61:I67 C60:F60 H60:I60 G68 H69:H74 C41:I59 C12:C40 F12:I40">
    <cfRule type="iconSet" priority="5">
      <iconSet iconSet="3Symbols">
        <cfvo type="percent" val="0"/>
        <cfvo type="num" val="1"/>
        <cfvo type="num" val="2"/>
      </iconSet>
    </cfRule>
  </conditionalFormatting>
  <conditionalFormatting sqref="D12:D40">
    <cfRule type="iconSet" priority="3">
      <iconSet iconSet="3Symbols">
        <cfvo type="percent" val="0"/>
        <cfvo type="num" val="1"/>
        <cfvo type="num" val="2"/>
      </iconSet>
    </cfRule>
  </conditionalFormatting>
  <conditionalFormatting sqref="E12:E17">
    <cfRule type="iconSet" priority="2">
      <iconSet iconSet="3Symbols">
        <cfvo type="percent" val="0"/>
        <cfvo type="num" val="1"/>
        <cfvo type="num" val="2"/>
      </iconSet>
    </cfRule>
  </conditionalFormatting>
  <conditionalFormatting sqref="E18:E40">
    <cfRule type="iconSet" priority="1">
      <iconSet iconSet="3Symbols">
        <cfvo type="percent" val="0"/>
        <cfvo type="num" val="1"/>
        <cfvo type="num" val="2"/>
      </iconSet>
    </cfRule>
  </conditionalFormatting>
  <conditionalFormatting sqref="F61:I61 F60 H60:I60 F42:I59">
    <cfRule type="iconSet" priority="4">
      <iconSet iconSet="3Symbols">
        <cfvo type="percent" val="0"/>
        <cfvo type="num" val="1"/>
        <cfvo type="num" val="2"/>
      </iconSet>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24C67-720C-4372-81E7-FB55665C634A}">
  <dimension ref="A1:I74"/>
  <sheetViews>
    <sheetView topLeftCell="A11" zoomScale="80" zoomScaleNormal="80" workbookViewId="0">
      <selection activeCell="A55" sqref="A55:XFD55"/>
    </sheetView>
  </sheetViews>
  <sheetFormatPr defaultRowHeight="14.5" x14ac:dyDescent="0.35"/>
  <cols>
    <col min="1" max="1" width="28" customWidth="1"/>
    <col min="2" max="2" width="35.453125" style="2" customWidth="1"/>
    <col min="3" max="8" width="15.453125" customWidth="1"/>
  </cols>
  <sheetData>
    <row r="1" spans="1:8" x14ac:dyDescent="0.35">
      <c r="A1" s="1" t="s">
        <v>69</v>
      </c>
      <c r="C1">
        <f xml:space="preserve"> SUM(C5:C6) / (C5+ C6+ C9) * 100</f>
        <v>100</v>
      </c>
      <c r="D1">
        <f t="shared" ref="D1:H1" si="0" xml:space="preserve"> SUM(D5:D6) / (D5+ D6+ D9) * 100</f>
        <v>100</v>
      </c>
      <c r="E1">
        <f t="shared" si="0"/>
        <v>100</v>
      </c>
      <c r="F1">
        <f t="shared" si="0"/>
        <v>60</v>
      </c>
      <c r="G1">
        <f t="shared" si="0"/>
        <v>75</v>
      </c>
      <c r="H1">
        <f t="shared" si="0"/>
        <v>100</v>
      </c>
    </row>
    <row r="2" spans="1:8" x14ac:dyDescent="0.35">
      <c r="A2" s="1" t="s">
        <v>68</v>
      </c>
      <c r="C2">
        <f xml:space="preserve"> SUM(C5:C6) / SUM(C5:C7) *100</f>
        <v>100</v>
      </c>
      <c r="D2">
        <f t="shared" ref="D2:H2" si="1" xml:space="preserve"> SUM(D5:D6) / SUM(D5:D7) *100</f>
        <v>100</v>
      </c>
      <c r="E2">
        <f t="shared" si="1"/>
        <v>100</v>
      </c>
      <c r="F2">
        <f t="shared" si="1"/>
        <v>100</v>
      </c>
      <c r="G2">
        <f t="shared" si="1"/>
        <v>100</v>
      </c>
      <c r="H2">
        <f t="shared" si="1"/>
        <v>100</v>
      </c>
    </row>
    <row r="3" spans="1:8" x14ac:dyDescent="0.35">
      <c r="A3" s="1" t="s">
        <v>126</v>
      </c>
      <c r="C3">
        <f xml:space="preserve"> C5/ (C5+ C8) * 100</f>
        <v>60</v>
      </c>
      <c r="D3">
        <f t="shared" ref="D3:H3" si="2" xml:space="preserve"> D5/ (D5+ D8) * 100</f>
        <v>75</v>
      </c>
      <c r="E3">
        <f t="shared" si="2"/>
        <v>42.857142857142854</v>
      </c>
      <c r="F3">
        <f t="shared" si="2"/>
        <v>50</v>
      </c>
      <c r="G3">
        <f t="shared" si="2"/>
        <v>28.571428571428569</v>
      </c>
      <c r="H3">
        <f t="shared" si="2"/>
        <v>42.857142857142854</v>
      </c>
    </row>
    <row r="4" spans="1:8" x14ac:dyDescent="0.35">
      <c r="A4" s="1" t="s">
        <v>127</v>
      </c>
      <c r="C4">
        <f xml:space="preserve"> C5 / (C5+C7) *100</f>
        <v>100</v>
      </c>
      <c r="D4">
        <f t="shared" ref="D4:H4" si="3" xml:space="preserve"> D5 / (D5+D7) *100</f>
        <v>100</v>
      </c>
      <c r="E4">
        <f t="shared" si="3"/>
        <v>100</v>
      </c>
      <c r="F4">
        <f t="shared" si="3"/>
        <v>100</v>
      </c>
      <c r="G4">
        <f t="shared" si="3"/>
        <v>100</v>
      </c>
      <c r="H4">
        <f t="shared" si="3"/>
        <v>100</v>
      </c>
    </row>
    <row r="5" spans="1:8" x14ac:dyDescent="0.35">
      <c r="A5" s="1" t="s">
        <v>46</v>
      </c>
      <c r="C5" s="2">
        <f>COUNTIF(C12:C28, 2)</f>
        <v>3</v>
      </c>
      <c r="D5" s="2">
        <f t="shared" ref="D5:H5" si="4">COUNTIF(D12:D28, 2)</f>
        <v>3</v>
      </c>
      <c r="E5" s="2">
        <f t="shared" si="4"/>
        <v>3</v>
      </c>
      <c r="F5" s="2">
        <f t="shared" si="4"/>
        <v>3</v>
      </c>
      <c r="G5" s="2">
        <f t="shared" si="4"/>
        <v>2</v>
      </c>
      <c r="H5" s="2">
        <f t="shared" si="4"/>
        <v>3</v>
      </c>
    </row>
    <row r="6" spans="1:8" x14ac:dyDescent="0.35">
      <c r="A6" s="1" t="s">
        <v>47</v>
      </c>
      <c r="C6">
        <f>COUNTIF(C12:C28, 1)</f>
        <v>0</v>
      </c>
      <c r="D6">
        <f t="shared" ref="D6:H6" si="5">COUNTIF(D12:D28, 1)</f>
        <v>0</v>
      </c>
      <c r="E6">
        <f t="shared" si="5"/>
        <v>0</v>
      </c>
      <c r="F6">
        <f t="shared" si="5"/>
        <v>0</v>
      </c>
      <c r="G6">
        <f t="shared" si="5"/>
        <v>1</v>
      </c>
      <c r="H6">
        <f t="shared" si="5"/>
        <v>0</v>
      </c>
    </row>
    <row r="7" spans="1:8" x14ac:dyDescent="0.35">
      <c r="A7" s="1" t="s">
        <v>48</v>
      </c>
      <c r="C7">
        <f>COUNTIF(C12:C28, 0)</f>
        <v>0</v>
      </c>
      <c r="D7">
        <f t="shared" ref="D7:H7" si="6">COUNTIF(D12:D28, 0)</f>
        <v>0</v>
      </c>
      <c r="E7">
        <f t="shared" si="6"/>
        <v>0</v>
      </c>
      <c r="F7">
        <f t="shared" si="6"/>
        <v>0</v>
      </c>
      <c r="G7">
        <f t="shared" si="6"/>
        <v>0</v>
      </c>
      <c r="H7">
        <f t="shared" si="6"/>
        <v>0</v>
      </c>
    </row>
    <row r="8" spans="1:8" x14ac:dyDescent="0.35">
      <c r="A8" s="1" t="s">
        <v>49</v>
      </c>
      <c r="C8">
        <f t="shared" ref="C8:H8" si="7">COUNTIF(C30:C61,0) + COUNTIF(C30:C61,1)</f>
        <v>2</v>
      </c>
      <c r="D8">
        <f t="shared" si="7"/>
        <v>1</v>
      </c>
      <c r="E8">
        <f t="shared" si="7"/>
        <v>4</v>
      </c>
      <c r="F8">
        <f t="shared" si="7"/>
        <v>3</v>
      </c>
      <c r="G8">
        <f t="shared" si="7"/>
        <v>5</v>
      </c>
      <c r="H8">
        <f t="shared" si="7"/>
        <v>4</v>
      </c>
    </row>
    <row r="9" spans="1:8" x14ac:dyDescent="0.35">
      <c r="A9" s="1" t="s">
        <v>50</v>
      </c>
      <c r="C9">
        <f>COUNTIF(C30:C61,0)</f>
        <v>0</v>
      </c>
      <c r="D9">
        <f>COUNTIF(D30:D61,0)</f>
        <v>0</v>
      </c>
      <c r="E9">
        <f t="shared" ref="E9:H9" si="8">COUNTIF(E30:E61,0)</f>
        <v>0</v>
      </c>
      <c r="F9">
        <f t="shared" si="8"/>
        <v>2</v>
      </c>
      <c r="G9">
        <f t="shared" si="8"/>
        <v>1</v>
      </c>
      <c r="H9">
        <f t="shared" si="8"/>
        <v>0</v>
      </c>
    </row>
    <row r="10" spans="1:8" s="3" customFormat="1" x14ac:dyDescent="0.35"/>
    <row r="11" spans="1:8" s="1" customFormat="1" x14ac:dyDescent="0.35">
      <c r="B11" s="5"/>
      <c r="C11" s="1" t="s">
        <v>3</v>
      </c>
      <c r="D11" s="1" t="s">
        <v>4</v>
      </c>
      <c r="E11" s="1" t="s">
        <v>5</v>
      </c>
      <c r="F11" s="1" t="s">
        <v>6</v>
      </c>
      <c r="G11" s="1" t="s">
        <v>7</v>
      </c>
      <c r="H11" s="1" t="s">
        <v>8</v>
      </c>
    </row>
    <row r="12" spans="1:8" x14ac:dyDescent="0.35">
      <c r="A12" s="1" t="s">
        <v>84</v>
      </c>
      <c r="B12" s="2" t="s">
        <v>86</v>
      </c>
      <c r="C12">
        <v>2</v>
      </c>
      <c r="D12">
        <v>2</v>
      </c>
      <c r="E12">
        <v>2</v>
      </c>
      <c r="F12">
        <v>2</v>
      </c>
      <c r="G12">
        <v>2</v>
      </c>
      <c r="H12">
        <v>2</v>
      </c>
    </row>
    <row r="13" spans="1:8" x14ac:dyDescent="0.35">
      <c r="A13" s="1"/>
      <c r="B13" s="2" t="s">
        <v>87</v>
      </c>
      <c r="C13">
        <v>2</v>
      </c>
      <c r="D13">
        <v>2</v>
      </c>
      <c r="E13">
        <v>2</v>
      </c>
      <c r="F13">
        <v>2</v>
      </c>
      <c r="G13">
        <v>2</v>
      </c>
      <c r="H13">
        <v>2</v>
      </c>
    </row>
    <row r="14" spans="1:8" x14ac:dyDescent="0.35">
      <c r="A14" s="1"/>
      <c r="B14" s="2" t="s">
        <v>88</v>
      </c>
      <c r="C14">
        <v>2</v>
      </c>
      <c r="D14">
        <v>2</v>
      </c>
      <c r="E14">
        <v>2</v>
      </c>
      <c r="F14">
        <v>2</v>
      </c>
      <c r="G14">
        <v>1</v>
      </c>
      <c r="H14">
        <v>2</v>
      </c>
    </row>
    <row r="15" spans="1:8" x14ac:dyDescent="0.35">
      <c r="A15" s="1"/>
    </row>
    <row r="16" spans="1:8" x14ac:dyDescent="0.35">
      <c r="A16" s="1"/>
    </row>
    <row r="17" spans="1:9" x14ac:dyDescent="0.35">
      <c r="A17" s="1"/>
    </row>
    <row r="18" spans="1:9" x14ac:dyDescent="0.35">
      <c r="A18" s="1"/>
    </row>
    <row r="19" spans="1:9" x14ac:dyDescent="0.35">
      <c r="A19" s="1"/>
    </row>
    <row r="20" spans="1:9" x14ac:dyDescent="0.35">
      <c r="A20" s="1"/>
    </row>
    <row r="21" spans="1:9" x14ac:dyDescent="0.35">
      <c r="A21" s="1"/>
    </row>
    <row r="22" spans="1:9" x14ac:dyDescent="0.35">
      <c r="A22" s="1"/>
    </row>
    <row r="23" spans="1:9" x14ac:dyDescent="0.35">
      <c r="A23" s="1"/>
    </row>
    <row r="24" spans="1:9" x14ac:dyDescent="0.35">
      <c r="A24" s="1"/>
    </row>
    <row r="25" spans="1:9" x14ac:dyDescent="0.35">
      <c r="A25" s="1"/>
    </row>
    <row r="26" spans="1:9" x14ac:dyDescent="0.35">
      <c r="A26" s="1"/>
    </row>
    <row r="27" spans="1:9" x14ac:dyDescent="0.35">
      <c r="A27" s="1"/>
    </row>
    <row r="28" spans="1:9" x14ac:dyDescent="0.35">
      <c r="A28" s="1"/>
    </row>
    <row r="29" spans="1:9" s="3" customFormat="1" x14ac:dyDescent="0.35">
      <c r="G29" s="4"/>
      <c r="H29" s="4"/>
      <c r="I29" s="4"/>
    </row>
    <row r="32" spans="1:9" x14ac:dyDescent="0.35">
      <c r="B32" s="2" t="s">
        <v>99</v>
      </c>
      <c r="C32">
        <v>1</v>
      </c>
      <c r="E32">
        <v>1</v>
      </c>
    </row>
    <row r="40" spans="2:8" x14ac:dyDescent="0.35">
      <c r="B40" s="2" t="s">
        <v>89</v>
      </c>
      <c r="D40">
        <v>1</v>
      </c>
      <c r="F40">
        <v>1</v>
      </c>
      <c r="G40">
        <v>1</v>
      </c>
      <c r="H40">
        <v>1</v>
      </c>
    </row>
    <row r="41" spans="2:8" x14ac:dyDescent="0.35">
      <c r="B41" s="2" t="s">
        <v>90</v>
      </c>
      <c r="F41">
        <v>0</v>
      </c>
    </row>
    <row r="42" spans="2:8" x14ac:dyDescent="0.35">
      <c r="B42" s="2" t="s">
        <v>91</v>
      </c>
      <c r="F42">
        <v>0</v>
      </c>
    </row>
    <row r="50" spans="2:8" x14ac:dyDescent="0.35">
      <c r="B50" s="2" t="s">
        <v>92</v>
      </c>
      <c r="G50">
        <v>0</v>
      </c>
    </row>
    <row r="51" spans="2:8" x14ac:dyDescent="0.35">
      <c r="B51" s="2" t="s">
        <v>79</v>
      </c>
      <c r="E51">
        <v>1</v>
      </c>
      <c r="G51">
        <v>1</v>
      </c>
    </row>
    <row r="52" spans="2:8" x14ac:dyDescent="0.35">
      <c r="B52" s="2" t="s">
        <v>93</v>
      </c>
      <c r="C52">
        <v>1</v>
      </c>
      <c r="E52">
        <v>1</v>
      </c>
      <c r="G52">
        <v>1</v>
      </c>
      <c r="H52">
        <v>1</v>
      </c>
    </row>
    <row r="53" spans="2:8" x14ac:dyDescent="0.35">
      <c r="B53" s="2" t="s">
        <v>94</v>
      </c>
      <c r="E53">
        <v>1</v>
      </c>
      <c r="G53">
        <v>1</v>
      </c>
    </row>
    <row r="54" spans="2:8" x14ac:dyDescent="0.35">
      <c r="B54" s="2" t="s">
        <v>97</v>
      </c>
      <c r="H54">
        <v>1</v>
      </c>
    </row>
    <row r="55" spans="2:8" x14ac:dyDescent="0.35">
      <c r="B55" s="2" t="s">
        <v>98</v>
      </c>
      <c r="H55">
        <v>1</v>
      </c>
    </row>
    <row r="67" spans="2:2" ht="15.5" x14ac:dyDescent="0.35">
      <c r="B67" s="8"/>
    </row>
    <row r="68" spans="2:2" ht="15.5" x14ac:dyDescent="0.35">
      <c r="B68" s="9"/>
    </row>
    <row r="69" spans="2:2" ht="15.5" x14ac:dyDescent="0.35">
      <c r="B69" s="8"/>
    </row>
    <row r="70" spans="2:2" ht="15.5" x14ac:dyDescent="0.35">
      <c r="B70" s="8"/>
    </row>
    <row r="71" spans="2:2" ht="15.5" x14ac:dyDescent="0.35">
      <c r="B71" s="9"/>
    </row>
    <row r="72" spans="2:2" ht="15.5" x14ac:dyDescent="0.35">
      <c r="B72" s="9"/>
    </row>
    <row r="73" spans="2:2" ht="15.5" x14ac:dyDescent="0.35">
      <c r="B73" s="8"/>
    </row>
    <row r="74" spans="2:2" x14ac:dyDescent="0.35">
      <c r="B74" s="6"/>
    </row>
  </sheetData>
  <conditionalFormatting sqref="D12:D20">
    <cfRule type="iconSet" priority="1">
      <iconSet iconSet="3Symbols">
        <cfvo type="percent" val="0"/>
        <cfvo type="num" val="1"/>
        <cfvo type="num" val="2"/>
      </iconSet>
    </cfRule>
  </conditionalFormatting>
  <conditionalFormatting sqref="D21:D27">
    <cfRule type="iconSet" priority="3">
      <iconSet iconSet="3Symbols">
        <cfvo type="percent" val="0"/>
        <cfvo type="num" val="1"/>
        <cfvo type="num" val="2"/>
      </iconSet>
    </cfRule>
  </conditionalFormatting>
  <conditionalFormatting sqref="D30:D45 D28">
    <cfRule type="iconSet" priority="663">
      <iconSet iconSet="3Symbols">
        <cfvo type="percent" val="0"/>
        <cfvo type="num" val="1"/>
        <cfvo type="num" val="2"/>
      </iconSet>
    </cfRule>
  </conditionalFormatting>
  <conditionalFormatting sqref="E12:E14">
    <cfRule type="iconSet" priority="611">
      <iconSet iconSet="3Symbols">
        <cfvo type="percent" val="0"/>
        <cfvo type="num" val="1"/>
        <cfvo type="num" val="2"/>
      </iconSet>
    </cfRule>
  </conditionalFormatting>
  <conditionalFormatting sqref="E15:E27">
    <cfRule type="iconSet" priority="628">
      <iconSet iconSet="3Symbols">
        <cfvo type="percent" val="0"/>
        <cfvo type="num" val="1"/>
        <cfvo type="num" val="2"/>
      </iconSet>
    </cfRule>
  </conditionalFormatting>
  <conditionalFormatting sqref="F12:F27">
    <cfRule type="iconSet" priority="633">
      <iconSet iconSet="3Symbols">
        <cfvo type="percent" val="0"/>
        <cfvo type="num" val="1"/>
        <cfvo type="num" val="2"/>
      </iconSet>
    </cfRule>
  </conditionalFormatting>
  <conditionalFormatting sqref="F48 F44:G47 G33:G43 I33:I48 G30:I32 H33:H56 G28:I28">
    <cfRule type="iconSet" priority="642">
      <iconSet iconSet="3Symbols">
        <cfvo type="percent" val="0"/>
        <cfvo type="num" val="1"/>
        <cfvo type="num" val="2"/>
      </iconSet>
    </cfRule>
  </conditionalFormatting>
  <conditionalFormatting sqref="G54 C49:G53 C48:F48 C46:G47 E29:F30 E31:G45 G12:I27 G29:I29 C12:C45 G30 I33:I53 H30:I32 H33:H61 E28:I28">
    <cfRule type="iconSet" priority="9">
      <iconSet iconSet="3Symbols">
        <cfvo type="percent" val="0"/>
        <cfvo type="num" val="1"/>
        <cfvo type="num" val="2"/>
      </iconSet>
    </cfRule>
  </conditionalFormatting>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334B3-8E71-48B0-A4FF-B50C9EE0AD11}">
  <dimension ref="A1:I64"/>
  <sheetViews>
    <sheetView topLeftCell="A21" zoomScale="75" zoomScaleNormal="75" workbookViewId="0">
      <selection activeCell="A23" sqref="A23:XFD46"/>
    </sheetView>
  </sheetViews>
  <sheetFormatPr defaultRowHeight="14.5" x14ac:dyDescent="0.35"/>
  <cols>
    <col min="1" max="1" width="28" customWidth="1"/>
    <col min="2" max="2" width="35.453125" style="2" customWidth="1"/>
    <col min="3" max="8" width="15.453125" customWidth="1"/>
  </cols>
  <sheetData>
    <row r="1" spans="1:8" x14ac:dyDescent="0.35">
      <c r="A1" s="1" t="s">
        <v>69</v>
      </c>
      <c r="C1">
        <f xml:space="preserve"> SUM(C5:C6) / (C5+ C6+ C9) * 100</f>
        <v>100</v>
      </c>
      <c r="D1">
        <f t="shared" ref="D1:H1" si="0" xml:space="preserve"> SUM(D5:D6) / (D5+ D6+ D9) * 100</f>
        <v>100</v>
      </c>
      <c r="E1">
        <f t="shared" si="0"/>
        <v>100</v>
      </c>
      <c r="F1">
        <f t="shared" si="0"/>
        <v>100</v>
      </c>
      <c r="G1">
        <f t="shared" si="0"/>
        <v>100</v>
      </c>
      <c r="H1">
        <f t="shared" si="0"/>
        <v>100</v>
      </c>
    </row>
    <row r="2" spans="1:8" x14ac:dyDescent="0.35">
      <c r="A2" s="1" t="s">
        <v>68</v>
      </c>
      <c r="C2">
        <f xml:space="preserve"> SUM(C5:C6) / SUM(C5:C7) *100</f>
        <v>100</v>
      </c>
      <c r="D2">
        <f t="shared" ref="D2:H2" si="1" xml:space="preserve"> SUM(D5:D6) / SUM(D5:D7) *100</f>
        <v>100</v>
      </c>
      <c r="E2">
        <f t="shared" si="1"/>
        <v>100</v>
      </c>
      <c r="F2">
        <f t="shared" si="1"/>
        <v>100</v>
      </c>
      <c r="G2">
        <f t="shared" si="1"/>
        <v>100</v>
      </c>
      <c r="H2">
        <f t="shared" si="1"/>
        <v>100</v>
      </c>
    </row>
    <row r="3" spans="1:8" x14ac:dyDescent="0.35">
      <c r="A3" s="1" t="s">
        <v>126</v>
      </c>
      <c r="C3">
        <f xml:space="preserve"> C5/ (C5+ C8) * 100</f>
        <v>100</v>
      </c>
      <c r="D3">
        <f t="shared" ref="D3:H3" si="2" xml:space="preserve"> D5/ (D5+ D8) * 100</f>
        <v>100</v>
      </c>
      <c r="E3">
        <f t="shared" si="2"/>
        <v>100</v>
      </c>
      <c r="F3">
        <f t="shared" si="2"/>
        <v>66.666666666666657</v>
      </c>
      <c r="G3">
        <f t="shared" si="2"/>
        <v>40</v>
      </c>
      <c r="H3">
        <f t="shared" si="2"/>
        <v>28.571428571428569</v>
      </c>
    </row>
    <row r="4" spans="1:8" x14ac:dyDescent="0.35">
      <c r="A4" s="1" t="s">
        <v>127</v>
      </c>
      <c r="C4">
        <f xml:space="preserve"> C5 / (C5+C7) *100</f>
        <v>100</v>
      </c>
      <c r="D4">
        <f t="shared" ref="D4:H4" si="3" xml:space="preserve"> D5 / (D5+D7) *100</f>
        <v>100</v>
      </c>
      <c r="E4">
        <f t="shared" si="3"/>
        <v>100</v>
      </c>
      <c r="F4">
        <f t="shared" si="3"/>
        <v>100</v>
      </c>
      <c r="G4">
        <f t="shared" si="3"/>
        <v>100</v>
      </c>
      <c r="H4">
        <f t="shared" si="3"/>
        <v>100</v>
      </c>
    </row>
    <row r="5" spans="1:8" x14ac:dyDescent="0.35">
      <c r="A5" s="1" t="s">
        <v>46</v>
      </c>
      <c r="C5" s="2">
        <f>COUNTIF(C12:C30, 2)</f>
        <v>2</v>
      </c>
      <c r="D5" s="2">
        <f t="shared" ref="D5:H5" si="4">COUNTIF(D12:D30, 2)</f>
        <v>2</v>
      </c>
      <c r="E5" s="2">
        <f t="shared" si="4"/>
        <v>2</v>
      </c>
      <c r="F5" s="2">
        <f t="shared" si="4"/>
        <v>2</v>
      </c>
      <c r="G5" s="2">
        <f t="shared" si="4"/>
        <v>2</v>
      </c>
      <c r="H5" s="2">
        <f t="shared" si="4"/>
        <v>2</v>
      </c>
    </row>
    <row r="6" spans="1:8" x14ac:dyDescent="0.35">
      <c r="A6" s="1" t="s">
        <v>47</v>
      </c>
      <c r="C6">
        <f>COUNTIF(C12:C30, 1)</f>
        <v>0</v>
      </c>
      <c r="D6">
        <f t="shared" ref="D6:H6" si="5">COUNTIF(D12:D30, 1)</f>
        <v>0</v>
      </c>
      <c r="E6">
        <f t="shared" si="5"/>
        <v>0</v>
      </c>
      <c r="F6">
        <f t="shared" si="5"/>
        <v>0</v>
      </c>
      <c r="G6">
        <f t="shared" si="5"/>
        <v>0</v>
      </c>
      <c r="H6">
        <f t="shared" si="5"/>
        <v>0</v>
      </c>
    </row>
    <row r="7" spans="1:8" x14ac:dyDescent="0.35">
      <c r="A7" s="1" t="s">
        <v>48</v>
      </c>
      <c r="C7">
        <f>COUNTIF(C12:C30, 0)</f>
        <v>0</v>
      </c>
      <c r="D7">
        <f t="shared" ref="D7:H7" si="6">COUNTIF(D12:D30, 0)</f>
        <v>0</v>
      </c>
      <c r="E7">
        <f t="shared" si="6"/>
        <v>0</v>
      </c>
      <c r="F7">
        <f t="shared" si="6"/>
        <v>0</v>
      </c>
      <c r="G7">
        <f t="shared" si="6"/>
        <v>0</v>
      </c>
      <c r="H7">
        <f t="shared" si="6"/>
        <v>0</v>
      </c>
    </row>
    <row r="8" spans="1:8" x14ac:dyDescent="0.35">
      <c r="A8" s="1" t="s">
        <v>49</v>
      </c>
      <c r="C8">
        <f>COUNTIF(C32:C100,0) + COUNTIF(C32:C100,1)</f>
        <v>0</v>
      </c>
      <c r="D8">
        <f t="shared" ref="D8:H8" si="7">COUNTIF(D32:D100,0) + COUNTIF(D32:D100,1)</f>
        <v>0</v>
      </c>
      <c r="E8">
        <f t="shared" si="7"/>
        <v>0</v>
      </c>
      <c r="F8">
        <f t="shared" si="7"/>
        <v>1</v>
      </c>
      <c r="G8">
        <f t="shared" si="7"/>
        <v>3</v>
      </c>
      <c r="H8">
        <f t="shared" si="7"/>
        <v>5</v>
      </c>
    </row>
    <row r="9" spans="1:8" x14ac:dyDescent="0.35">
      <c r="A9" s="1" t="s">
        <v>50</v>
      </c>
      <c r="C9">
        <f>COUNTIF(C32:C100,0)</f>
        <v>0</v>
      </c>
      <c r="D9">
        <f t="shared" ref="D9:H9" si="8">COUNTIF(D32:D100,0)</f>
        <v>0</v>
      </c>
      <c r="E9">
        <f t="shared" si="8"/>
        <v>0</v>
      </c>
      <c r="F9">
        <f t="shared" si="8"/>
        <v>0</v>
      </c>
      <c r="G9">
        <f t="shared" si="8"/>
        <v>0</v>
      </c>
      <c r="H9">
        <f t="shared" si="8"/>
        <v>0</v>
      </c>
    </row>
    <row r="10" spans="1:8" s="3" customFormat="1" x14ac:dyDescent="0.35">
      <c r="B10" s="4"/>
    </row>
    <row r="11" spans="1:8" s="1" customFormat="1" x14ac:dyDescent="0.35">
      <c r="B11" s="5"/>
      <c r="C11" s="1" t="s">
        <v>3</v>
      </c>
      <c r="D11" s="1" t="s">
        <v>4</v>
      </c>
      <c r="E11" s="1" t="s">
        <v>5</v>
      </c>
      <c r="F11" s="1" t="s">
        <v>6</v>
      </c>
      <c r="G11" s="1" t="s">
        <v>7</v>
      </c>
      <c r="H11" s="1" t="s">
        <v>8</v>
      </c>
    </row>
    <row r="12" spans="1:8" x14ac:dyDescent="0.35">
      <c r="A12" s="1" t="s">
        <v>84</v>
      </c>
      <c r="B12" s="2" t="s">
        <v>95</v>
      </c>
      <c r="C12">
        <v>2</v>
      </c>
      <c r="D12">
        <v>2</v>
      </c>
      <c r="E12">
        <v>2</v>
      </c>
      <c r="F12">
        <v>2</v>
      </c>
      <c r="G12">
        <v>2</v>
      </c>
      <c r="H12">
        <v>2</v>
      </c>
    </row>
    <row r="13" spans="1:8" x14ac:dyDescent="0.35">
      <c r="A13" s="1"/>
      <c r="B13" s="2" t="s">
        <v>96</v>
      </c>
      <c r="C13">
        <v>2</v>
      </c>
      <c r="D13">
        <v>2</v>
      </c>
      <c r="E13">
        <v>2</v>
      </c>
      <c r="F13">
        <v>2</v>
      </c>
      <c r="G13">
        <v>2</v>
      </c>
      <c r="H13">
        <v>2</v>
      </c>
    </row>
    <row r="14" spans="1:8" x14ac:dyDescent="0.35">
      <c r="A14" s="1"/>
    </row>
    <row r="15" spans="1:8" x14ac:dyDescent="0.35">
      <c r="A15" s="1"/>
    </row>
    <row r="16" spans="1:8" x14ac:dyDescent="0.35">
      <c r="A16" s="1"/>
    </row>
    <row r="17" spans="1:9" x14ac:dyDescent="0.35">
      <c r="A17" s="1"/>
    </row>
    <row r="18" spans="1:9" x14ac:dyDescent="0.35">
      <c r="A18" s="1"/>
    </row>
    <row r="19" spans="1:9" x14ac:dyDescent="0.35">
      <c r="A19" s="1"/>
    </row>
    <row r="20" spans="1:9" x14ac:dyDescent="0.35">
      <c r="A20" s="1"/>
    </row>
    <row r="21" spans="1:9" x14ac:dyDescent="0.35">
      <c r="A21" s="1"/>
    </row>
    <row r="23" spans="1:9" x14ac:dyDescent="0.35">
      <c r="A23" s="1"/>
    </row>
    <row r="24" spans="1:9" x14ac:dyDescent="0.35">
      <c r="A24" s="1"/>
    </row>
    <row r="25" spans="1:9" x14ac:dyDescent="0.35">
      <c r="A25" s="1"/>
    </row>
    <row r="26" spans="1:9" x14ac:dyDescent="0.35">
      <c r="A26" s="1"/>
    </row>
    <row r="27" spans="1:9" x14ac:dyDescent="0.35">
      <c r="A27" s="1"/>
    </row>
    <row r="31" spans="1:9" s="3" customFormat="1" x14ac:dyDescent="0.35">
      <c r="B31" s="4"/>
      <c r="F31" s="4"/>
      <c r="G31" s="4"/>
      <c r="H31" s="4"/>
      <c r="I31" s="4"/>
    </row>
    <row r="49" spans="2:8" x14ac:dyDescent="0.35">
      <c r="B49" s="2" t="s">
        <v>100</v>
      </c>
      <c r="F49">
        <v>1</v>
      </c>
      <c r="G49">
        <v>1</v>
      </c>
      <c r="H49">
        <v>1</v>
      </c>
    </row>
    <row r="61" spans="2:8" x14ac:dyDescent="0.35">
      <c r="B61" s="2" t="s">
        <v>101</v>
      </c>
      <c r="G61">
        <v>1</v>
      </c>
      <c r="H61">
        <v>1</v>
      </c>
    </row>
    <row r="62" spans="2:8" x14ac:dyDescent="0.35">
      <c r="B62" s="2" t="s">
        <v>102</v>
      </c>
      <c r="G62">
        <v>1</v>
      </c>
      <c r="H62">
        <v>1</v>
      </c>
    </row>
    <row r="63" spans="2:8" x14ac:dyDescent="0.35">
      <c r="B63" s="2" t="s">
        <v>103</v>
      </c>
      <c r="H63">
        <v>1</v>
      </c>
    </row>
    <row r="64" spans="2:8" x14ac:dyDescent="0.35">
      <c r="B64" s="2" t="s">
        <v>104</v>
      </c>
      <c r="H64">
        <v>1</v>
      </c>
    </row>
  </sheetData>
  <conditionalFormatting sqref="C44:F44 H44:I44 F12:I27 F29:I30 C12:C30 F53:F61 C45:I52 G53:G62 C31:I43 H54:H74 F28:H28">
    <cfRule type="iconSet" priority="758">
      <iconSet iconSet="3Symbols">
        <cfvo type="percent" val="0"/>
        <cfvo type="num" val="1"/>
        <cfvo type="num" val="2"/>
      </iconSet>
    </cfRule>
  </conditionalFormatting>
  <conditionalFormatting sqref="D12:D30">
    <cfRule type="iconSet" priority="705">
      <iconSet iconSet="3Symbols">
        <cfvo type="percent" val="0"/>
        <cfvo type="num" val="1"/>
        <cfvo type="num" val="2"/>
      </iconSet>
    </cfRule>
  </conditionalFormatting>
  <conditionalFormatting sqref="E12:E30">
    <cfRule type="iconSet" priority="688">
      <iconSet iconSet="3Symbols">
        <cfvo type="percent" val="0"/>
        <cfvo type="num" val="1"/>
        <cfvo type="num" val="2"/>
      </iconSet>
    </cfRule>
  </conditionalFormatting>
  <conditionalFormatting sqref="F45:I45 F44 H44:I44 F29:I30 F32:I43 F52:I52 C35:F35">
    <cfRule type="iconSet" priority="5">
      <iconSet iconSet="3Symbols">
        <cfvo type="percent" val="0"/>
        <cfvo type="num" val="1"/>
        <cfvo type="num" val="2"/>
      </iconSet>
    </cfRule>
  </conditionalFormatting>
  <conditionalFormatting sqref="G49:G51 G53:G62">
    <cfRule type="iconSet" priority="771">
      <iconSet iconSet="3Symbols">
        <cfvo type="percent" val="0"/>
        <cfvo type="num" val="1"/>
        <cfvo type="num" val="2"/>
      </iconSet>
    </cfRule>
  </conditionalFormatting>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676F5-6B65-4CAC-BD77-A409BB6F5CB2}">
  <dimension ref="A1:I75"/>
  <sheetViews>
    <sheetView topLeftCell="A5" zoomScale="72" zoomScaleNormal="70" workbookViewId="0">
      <selection activeCell="A19" sqref="A19:XFD38"/>
    </sheetView>
  </sheetViews>
  <sheetFormatPr defaultRowHeight="14.5" x14ac:dyDescent="0.35"/>
  <cols>
    <col min="1" max="1" width="28" customWidth="1"/>
    <col min="2" max="2" width="35.453125" style="2" customWidth="1"/>
    <col min="3" max="8" width="15.453125" customWidth="1"/>
  </cols>
  <sheetData>
    <row r="1" spans="1:8" x14ac:dyDescent="0.35">
      <c r="A1" s="1" t="s">
        <v>69</v>
      </c>
      <c r="C1">
        <f xml:space="preserve"> SUM(C5:C6) / (C5+ C6+ C9) * 100</f>
        <v>100</v>
      </c>
      <c r="D1">
        <f t="shared" ref="D1:H1" si="0" xml:space="preserve"> SUM(D5:D6) / (D5+ D6+ D9) * 100</f>
        <v>100</v>
      </c>
      <c r="E1">
        <f t="shared" si="0"/>
        <v>100</v>
      </c>
      <c r="F1">
        <f t="shared" si="0"/>
        <v>100</v>
      </c>
      <c r="G1">
        <f t="shared" si="0"/>
        <v>100</v>
      </c>
      <c r="H1">
        <f t="shared" si="0"/>
        <v>100</v>
      </c>
    </row>
    <row r="2" spans="1:8" x14ac:dyDescent="0.35">
      <c r="A2" s="1" t="s">
        <v>68</v>
      </c>
      <c r="C2">
        <f xml:space="preserve"> SUM(C5:C6) / SUM(C5:C7) *100</f>
        <v>85.714285714285708</v>
      </c>
      <c r="D2">
        <f t="shared" ref="D2:H2" si="1" xml:space="preserve"> SUM(D5:D6) / SUM(D5:D7) *100</f>
        <v>85.714285714285708</v>
      </c>
      <c r="E2">
        <f t="shared" si="1"/>
        <v>85.714285714285708</v>
      </c>
      <c r="F2">
        <f t="shared" si="1"/>
        <v>57.142857142857139</v>
      </c>
      <c r="G2">
        <f t="shared" si="1"/>
        <v>71.428571428571431</v>
      </c>
      <c r="H2">
        <f t="shared" si="1"/>
        <v>71.428571428571431</v>
      </c>
    </row>
    <row r="3" spans="1:8" x14ac:dyDescent="0.35">
      <c r="A3" s="1" t="s">
        <v>126</v>
      </c>
      <c r="C3">
        <f xml:space="preserve"> C5/ (C5+ C8) * 100</f>
        <v>100</v>
      </c>
      <c r="D3">
        <f t="shared" ref="D3:H3" si="2" xml:space="preserve"> D5/ (D5+ D8) * 100</f>
        <v>100</v>
      </c>
      <c r="E3">
        <f t="shared" si="2"/>
        <v>100</v>
      </c>
      <c r="F3">
        <f t="shared" si="2"/>
        <v>100</v>
      </c>
      <c r="G3">
        <f t="shared" si="2"/>
        <v>100</v>
      </c>
      <c r="H3">
        <f t="shared" si="2"/>
        <v>100</v>
      </c>
    </row>
    <row r="4" spans="1:8" x14ac:dyDescent="0.35">
      <c r="A4" s="1" t="s">
        <v>127</v>
      </c>
      <c r="C4">
        <f xml:space="preserve"> C5 / (C5+C7) *100</f>
        <v>85.714285714285708</v>
      </c>
      <c r="D4">
        <f t="shared" ref="D4:H4" si="3" xml:space="preserve"> D5 / (D5+D7) *100</f>
        <v>85.714285714285708</v>
      </c>
      <c r="E4">
        <f t="shared" si="3"/>
        <v>85.714285714285708</v>
      </c>
      <c r="F4">
        <f t="shared" si="3"/>
        <v>57.142857142857139</v>
      </c>
      <c r="G4">
        <f t="shared" si="3"/>
        <v>71.428571428571431</v>
      </c>
      <c r="H4">
        <f t="shared" si="3"/>
        <v>71.428571428571431</v>
      </c>
    </row>
    <row r="5" spans="1:8" x14ac:dyDescent="0.35">
      <c r="A5" s="1" t="s">
        <v>46</v>
      </c>
      <c r="C5" s="2">
        <f t="shared" ref="C5:H5" si="4">COUNTIF(C12:C25, 2)</f>
        <v>6</v>
      </c>
      <c r="D5" s="2">
        <f t="shared" si="4"/>
        <v>6</v>
      </c>
      <c r="E5" s="2">
        <f t="shared" si="4"/>
        <v>6</v>
      </c>
      <c r="F5" s="2">
        <f t="shared" si="4"/>
        <v>4</v>
      </c>
      <c r="G5" s="2">
        <f t="shared" si="4"/>
        <v>5</v>
      </c>
      <c r="H5" s="2">
        <f t="shared" si="4"/>
        <v>5</v>
      </c>
    </row>
    <row r="6" spans="1:8" x14ac:dyDescent="0.35">
      <c r="A6" s="1" t="s">
        <v>47</v>
      </c>
      <c r="C6">
        <f t="shared" ref="C6:H6" si="5">COUNTIF(C12:C25, 1)</f>
        <v>0</v>
      </c>
      <c r="D6">
        <f t="shared" si="5"/>
        <v>0</v>
      </c>
      <c r="E6">
        <f t="shared" si="5"/>
        <v>0</v>
      </c>
      <c r="F6">
        <f t="shared" si="5"/>
        <v>0</v>
      </c>
      <c r="G6">
        <f t="shared" si="5"/>
        <v>0</v>
      </c>
      <c r="H6">
        <f t="shared" si="5"/>
        <v>0</v>
      </c>
    </row>
    <row r="7" spans="1:8" x14ac:dyDescent="0.35">
      <c r="A7" s="1" t="s">
        <v>48</v>
      </c>
      <c r="C7">
        <f t="shared" ref="C7:H7" si="6">COUNTIF(C12:C25, 0)</f>
        <v>1</v>
      </c>
      <c r="D7">
        <f t="shared" si="6"/>
        <v>1</v>
      </c>
      <c r="E7">
        <f t="shared" si="6"/>
        <v>1</v>
      </c>
      <c r="F7">
        <f t="shared" si="6"/>
        <v>3</v>
      </c>
      <c r="G7">
        <f t="shared" si="6"/>
        <v>2</v>
      </c>
      <c r="H7">
        <f t="shared" si="6"/>
        <v>2</v>
      </c>
    </row>
    <row r="8" spans="1:8" x14ac:dyDescent="0.35">
      <c r="A8" s="1" t="s">
        <v>49</v>
      </c>
      <c r="C8">
        <f>COUNTIF(C27:C87,0) + COUNTIF(C27:C87,1)</f>
        <v>0</v>
      </c>
      <c r="D8">
        <f t="shared" ref="D8:H8" si="7">COUNTIF(D27:D87,0) + COUNTIF(D27:D87,1)</f>
        <v>0</v>
      </c>
      <c r="E8">
        <f t="shared" si="7"/>
        <v>0</v>
      </c>
      <c r="F8">
        <f t="shared" si="7"/>
        <v>0</v>
      </c>
      <c r="G8">
        <f t="shared" si="7"/>
        <v>0</v>
      </c>
      <c r="H8">
        <f t="shared" si="7"/>
        <v>0</v>
      </c>
    </row>
    <row r="9" spans="1:8" x14ac:dyDescent="0.35">
      <c r="A9" s="1" t="s">
        <v>50</v>
      </c>
      <c r="C9">
        <f>COUNTIF(C27:C87,0)</f>
        <v>0</v>
      </c>
      <c r="D9">
        <f t="shared" ref="D9:H9" si="8">COUNTIF(D27:D87,0)</f>
        <v>0</v>
      </c>
      <c r="E9">
        <f t="shared" si="8"/>
        <v>0</v>
      </c>
      <c r="F9">
        <f t="shared" si="8"/>
        <v>0</v>
      </c>
      <c r="G9">
        <f t="shared" si="8"/>
        <v>0</v>
      </c>
      <c r="H9">
        <f t="shared" si="8"/>
        <v>0</v>
      </c>
    </row>
    <row r="10" spans="1:8" s="3" customFormat="1" x14ac:dyDescent="0.35">
      <c r="B10" s="4"/>
    </row>
    <row r="11" spans="1:8" s="1" customFormat="1" x14ac:dyDescent="0.35">
      <c r="B11" s="5"/>
      <c r="C11" s="1" t="s">
        <v>3</v>
      </c>
      <c r="D11" s="1" t="s">
        <v>4</v>
      </c>
      <c r="E11" s="1" t="s">
        <v>5</v>
      </c>
      <c r="F11" s="1" t="s">
        <v>6</v>
      </c>
      <c r="G11" s="1" t="s">
        <v>7</v>
      </c>
      <c r="H11" s="1" t="s">
        <v>8</v>
      </c>
    </row>
    <row r="12" spans="1:8" x14ac:dyDescent="0.35">
      <c r="A12" s="1" t="s">
        <v>84</v>
      </c>
      <c r="B12" s="2" t="s">
        <v>52</v>
      </c>
      <c r="C12">
        <v>2</v>
      </c>
      <c r="D12">
        <v>2</v>
      </c>
      <c r="E12">
        <v>2</v>
      </c>
      <c r="F12">
        <v>0</v>
      </c>
      <c r="G12">
        <v>2</v>
      </c>
      <c r="H12">
        <v>2</v>
      </c>
    </row>
    <row r="13" spans="1:8" x14ac:dyDescent="0.35">
      <c r="A13" s="1"/>
      <c r="B13" s="2" t="s">
        <v>105</v>
      </c>
      <c r="C13">
        <v>2</v>
      </c>
      <c r="D13">
        <v>2</v>
      </c>
      <c r="E13">
        <v>2</v>
      </c>
      <c r="F13">
        <v>0</v>
      </c>
      <c r="G13">
        <v>0</v>
      </c>
      <c r="H13">
        <v>0</v>
      </c>
    </row>
    <row r="14" spans="1:8" x14ac:dyDescent="0.35">
      <c r="A14" s="1"/>
      <c r="B14" s="2" t="s">
        <v>106</v>
      </c>
      <c r="C14">
        <v>2</v>
      </c>
      <c r="D14">
        <v>2</v>
      </c>
      <c r="E14">
        <v>2</v>
      </c>
      <c r="F14">
        <v>2</v>
      </c>
      <c r="G14">
        <v>2</v>
      </c>
      <c r="H14">
        <v>2</v>
      </c>
    </row>
    <row r="15" spans="1:8" x14ac:dyDescent="0.35">
      <c r="A15" s="1"/>
      <c r="B15" s="2" t="s">
        <v>107</v>
      </c>
      <c r="C15">
        <v>0</v>
      </c>
      <c r="D15">
        <v>0</v>
      </c>
      <c r="E15">
        <v>0</v>
      </c>
      <c r="F15">
        <v>0</v>
      </c>
      <c r="G15">
        <v>0</v>
      </c>
      <c r="H15">
        <v>0</v>
      </c>
    </row>
    <row r="16" spans="1:8" x14ac:dyDescent="0.35">
      <c r="A16" s="1"/>
      <c r="B16" s="2" t="s">
        <v>108</v>
      </c>
      <c r="C16">
        <v>2</v>
      </c>
      <c r="D16">
        <v>2</v>
      </c>
      <c r="E16">
        <v>2</v>
      </c>
      <c r="F16">
        <v>2</v>
      </c>
      <c r="G16">
        <v>2</v>
      </c>
      <c r="H16">
        <v>2</v>
      </c>
    </row>
    <row r="17" spans="1:9" x14ac:dyDescent="0.35">
      <c r="A17" s="1"/>
      <c r="B17" s="2" t="s">
        <v>109</v>
      </c>
      <c r="C17">
        <v>2</v>
      </c>
      <c r="D17">
        <v>2</v>
      </c>
      <c r="E17">
        <v>2</v>
      </c>
      <c r="F17">
        <v>2</v>
      </c>
      <c r="G17">
        <v>2</v>
      </c>
      <c r="H17">
        <v>2</v>
      </c>
    </row>
    <row r="18" spans="1:9" x14ac:dyDescent="0.35">
      <c r="B18" s="2" t="s">
        <v>110</v>
      </c>
      <c r="C18">
        <v>2</v>
      </c>
      <c r="D18">
        <v>2</v>
      </c>
      <c r="E18">
        <v>2</v>
      </c>
      <c r="F18">
        <v>2</v>
      </c>
      <c r="G18">
        <v>2</v>
      </c>
      <c r="H18">
        <v>2</v>
      </c>
    </row>
    <row r="19" spans="1:9" x14ac:dyDescent="0.35">
      <c r="A19" s="1"/>
    </row>
    <row r="20" spans="1:9" x14ac:dyDescent="0.35">
      <c r="A20" s="1"/>
    </row>
    <row r="21" spans="1:9" x14ac:dyDescent="0.35">
      <c r="A21" s="1"/>
    </row>
    <row r="22" spans="1:9" x14ac:dyDescent="0.35">
      <c r="A22" s="1"/>
    </row>
    <row r="23" spans="1:9" x14ac:dyDescent="0.35">
      <c r="A23" s="1"/>
    </row>
    <row r="24" spans="1:9" x14ac:dyDescent="0.35">
      <c r="A24" s="1"/>
    </row>
    <row r="25" spans="1:9" x14ac:dyDescent="0.35">
      <c r="A25" s="1"/>
    </row>
    <row r="26" spans="1:9" s="3" customFormat="1" x14ac:dyDescent="0.35">
      <c r="B26" s="4"/>
      <c r="F26" s="4"/>
      <c r="G26" s="4"/>
      <c r="H26" s="4"/>
      <c r="I26" s="4"/>
    </row>
    <row r="33" spans="2:2" x14ac:dyDescent="0.35">
      <c r="B33"/>
    </row>
    <row r="41" spans="2:2" x14ac:dyDescent="0.35">
      <c r="B41"/>
    </row>
    <row r="42" spans="2:2" x14ac:dyDescent="0.35">
      <c r="B42"/>
    </row>
    <row r="43" spans="2:2" x14ac:dyDescent="0.35">
      <c r="B43"/>
    </row>
    <row r="44" spans="2:2" x14ac:dyDescent="0.35">
      <c r="B44"/>
    </row>
    <row r="62" spans="2:2" x14ac:dyDescent="0.35">
      <c r="B62" s="10"/>
    </row>
    <row r="68" spans="2:2" ht="15.5" x14ac:dyDescent="0.35">
      <c r="B68" s="11"/>
    </row>
    <row r="69" spans="2:2" ht="15.5" x14ac:dyDescent="0.35">
      <c r="B69" s="12"/>
    </row>
    <row r="70" spans="2:2" ht="15.5" x14ac:dyDescent="0.35">
      <c r="B70" s="11"/>
    </row>
    <row r="71" spans="2:2" ht="15.5" x14ac:dyDescent="0.35">
      <c r="B71" s="11"/>
    </row>
    <row r="72" spans="2:2" ht="15.5" x14ac:dyDescent="0.35">
      <c r="B72" s="12"/>
    </row>
    <row r="73" spans="2:2" ht="15.5" x14ac:dyDescent="0.35">
      <c r="B73" s="12"/>
    </row>
    <row r="74" spans="2:2" ht="15.5" x14ac:dyDescent="0.35">
      <c r="B74" s="11"/>
    </row>
    <row r="75" spans="2:2" x14ac:dyDescent="0.35">
      <c r="B75" s="10"/>
    </row>
  </sheetData>
  <conditionalFormatting sqref="C48:I54 C47:F47 H47:I47 G55 H56:H61 C26:I46 C12:C25 F12:I25">
    <cfRule type="iconSet" priority="5">
      <iconSet iconSet="3Symbols">
        <cfvo type="percent" val="0"/>
        <cfvo type="num" val="1"/>
        <cfvo type="num" val="2"/>
      </iconSet>
    </cfRule>
  </conditionalFormatting>
  <conditionalFormatting sqref="D12:D25">
    <cfRule type="iconSet" priority="1336">
      <iconSet iconSet="3Symbols">
        <cfvo type="percent" val="0"/>
        <cfvo type="num" val="1"/>
        <cfvo type="num" val="2"/>
      </iconSet>
    </cfRule>
  </conditionalFormatting>
  <conditionalFormatting sqref="E12:E17">
    <cfRule type="iconSet" priority="2">
      <iconSet iconSet="3Symbols">
        <cfvo type="percent" val="0"/>
        <cfvo type="num" val="1"/>
        <cfvo type="num" val="2"/>
      </iconSet>
    </cfRule>
  </conditionalFormatting>
  <conditionalFormatting sqref="E18:E25">
    <cfRule type="iconSet" priority="1338">
      <iconSet iconSet="3Symbols">
        <cfvo type="percent" val="0"/>
        <cfvo type="num" val="1"/>
        <cfvo type="num" val="2"/>
      </iconSet>
    </cfRule>
  </conditionalFormatting>
  <conditionalFormatting sqref="F48:I48 F47 H47:I47 F27:I46">
    <cfRule type="iconSet" priority="4">
      <iconSet iconSet="3Symbols">
        <cfvo type="percent" val="0"/>
        <cfvo type="num" val="1"/>
        <cfvo type="num" val="2"/>
      </iconSet>
    </cfRule>
  </conditionalFormatting>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CCE46-D310-4982-8C77-92767F8DA444}">
  <dimension ref="A1:I78"/>
  <sheetViews>
    <sheetView zoomScale="76" zoomScaleNormal="76" workbookViewId="0">
      <selection activeCell="C27" sqref="C27:E28"/>
    </sheetView>
  </sheetViews>
  <sheetFormatPr defaultRowHeight="14.5" x14ac:dyDescent="0.35"/>
  <cols>
    <col min="1" max="1" width="28" customWidth="1"/>
    <col min="2" max="2" width="35.453125" style="2" customWidth="1"/>
    <col min="3" max="8" width="15.453125" customWidth="1"/>
  </cols>
  <sheetData>
    <row r="1" spans="1:8" x14ac:dyDescent="0.35">
      <c r="A1" s="1" t="s">
        <v>69</v>
      </c>
      <c r="C1">
        <f xml:space="preserve"> SUM(C5:C6) / (C5+ C6+ C9) * 100</f>
        <v>83.333333333333343</v>
      </c>
      <c r="D1">
        <f t="shared" ref="D1:H1" si="0" xml:space="preserve"> SUM(D5:D6) / (D5+ D6+ D9) * 100</f>
        <v>100</v>
      </c>
      <c r="E1">
        <f t="shared" si="0"/>
        <v>100</v>
      </c>
      <c r="F1">
        <f t="shared" si="0"/>
        <v>100</v>
      </c>
      <c r="G1">
        <f t="shared" si="0"/>
        <v>100</v>
      </c>
      <c r="H1">
        <f t="shared" si="0"/>
        <v>100</v>
      </c>
    </row>
    <row r="2" spans="1:8" x14ac:dyDescent="0.35">
      <c r="A2" s="1" t="s">
        <v>68</v>
      </c>
      <c r="C2">
        <f xml:space="preserve"> SUM(C5:C6) / SUM(C5:C7) *100</f>
        <v>83.333333333333343</v>
      </c>
      <c r="D2">
        <f t="shared" ref="D2:H2" si="1" xml:space="preserve"> SUM(D5:D6) / SUM(D5:D7) *100</f>
        <v>83.333333333333343</v>
      </c>
      <c r="E2">
        <f t="shared" si="1"/>
        <v>83.333333333333343</v>
      </c>
      <c r="F2">
        <f t="shared" si="1"/>
        <v>66.666666666666657</v>
      </c>
      <c r="G2">
        <f t="shared" si="1"/>
        <v>66.666666666666657</v>
      </c>
      <c r="H2">
        <f t="shared" si="1"/>
        <v>66.666666666666657</v>
      </c>
    </row>
    <row r="3" spans="1:8" x14ac:dyDescent="0.35">
      <c r="A3" s="1" t="s">
        <v>126</v>
      </c>
      <c r="C3">
        <f xml:space="preserve"> C5/ (C5+ C8) * 100</f>
        <v>62.5</v>
      </c>
      <c r="D3">
        <f t="shared" ref="D3:H3" si="2" xml:space="preserve"> D5/ (D5+ D8) * 100</f>
        <v>71.428571428571431</v>
      </c>
      <c r="E3">
        <f t="shared" si="2"/>
        <v>71.428571428571431</v>
      </c>
      <c r="F3">
        <f t="shared" si="2"/>
        <v>100</v>
      </c>
      <c r="G3">
        <f t="shared" si="2"/>
        <v>100</v>
      </c>
      <c r="H3">
        <f t="shared" si="2"/>
        <v>100</v>
      </c>
    </row>
    <row r="4" spans="1:8" x14ac:dyDescent="0.35">
      <c r="A4" s="1" t="s">
        <v>127</v>
      </c>
      <c r="C4">
        <f xml:space="preserve"> C5 / (C5+C7) *100</f>
        <v>83.333333333333343</v>
      </c>
      <c r="D4">
        <f t="shared" ref="D4:H4" si="3" xml:space="preserve"> D5 / (D5+D7) *100</f>
        <v>83.333333333333343</v>
      </c>
      <c r="E4">
        <f t="shared" si="3"/>
        <v>83.333333333333343</v>
      </c>
      <c r="F4">
        <f t="shared" si="3"/>
        <v>66.666666666666657</v>
      </c>
      <c r="G4">
        <f t="shared" si="3"/>
        <v>66.666666666666657</v>
      </c>
      <c r="H4">
        <f t="shared" si="3"/>
        <v>66.666666666666657</v>
      </c>
    </row>
    <row r="5" spans="1:8" x14ac:dyDescent="0.35">
      <c r="A5" s="1" t="s">
        <v>46</v>
      </c>
      <c r="C5" s="2">
        <f t="shared" ref="C5:H5" si="4">COUNTIF(C12:C25, 2)</f>
        <v>5</v>
      </c>
      <c r="D5" s="2">
        <f t="shared" si="4"/>
        <v>5</v>
      </c>
      <c r="E5" s="2">
        <f t="shared" si="4"/>
        <v>5</v>
      </c>
      <c r="F5" s="2">
        <f t="shared" si="4"/>
        <v>4</v>
      </c>
      <c r="G5" s="2">
        <f t="shared" si="4"/>
        <v>4</v>
      </c>
      <c r="H5" s="2">
        <f t="shared" si="4"/>
        <v>4</v>
      </c>
    </row>
    <row r="6" spans="1:8" x14ac:dyDescent="0.35">
      <c r="A6" s="1" t="s">
        <v>47</v>
      </c>
      <c r="C6">
        <f t="shared" ref="C6:H6" si="5">COUNTIF(C12:C25, 1)</f>
        <v>0</v>
      </c>
      <c r="D6">
        <f t="shared" si="5"/>
        <v>0</v>
      </c>
      <c r="E6">
        <f t="shared" si="5"/>
        <v>0</v>
      </c>
      <c r="F6">
        <f t="shared" si="5"/>
        <v>0</v>
      </c>
      <c r="G6">
        <f t="shared" si="5"/>
        <v>0</v>
      </c>
      <c r="H6">
        <f t="shared" si="5"/>
        <v>0</v>
      </c>
    </row>
    <row r="7" spans="1:8" x14ac:dyDescent="0.35">
      <c r="A7" s="1" t="s">
        <v>48</v>
      </c>
      <c r="C7">
        <f t="shared" ref="C7:H7" si="6">COUNTIF(C12:C25, 0)</f>
        <v>1</v>
      </c>
      <c r="D7">
        <f t="shared" si="6"/>
        <v>1</v>
      </c>
      <c r="E7">
        <f t="shared" si="6"/>
        <v>1</v>
      </c>
      <c r="F7">
        <f t="shared" si="6"/>
        <v>2</v>
      </c>
      <c r="G7">
        <f t="shared" si="6"/>
        <v>2</v>
      </c>
      <c r="H7">
        <f t="shared" si="6"/>
        <v>2</v>
      </c>
    </row>
    <row r="8" spans="1:8" x14ac:dyDescent="0.35">
      <c r="A8" s="1" t="s">
        <v>49</v>
      </c>
      <c r="C8">
        <f>COUNTIF(C27:C90,0) + COUNTIF(C27:C90,1)</f>
        <v>3</v>
      </c>
      <c r="D8">
        <f t="shared" ref="D8:H8" si="7">COUNTIF(D27:D90,0) + COUNTIF(D27:D90,1)</f>
        <v>2</v>
      </c>
      <c r="E8">
        <f t="shared" si="7"/>
        <v>2</v>
      </c>
      <c r="F8">
        <f t="shared" si="7"/>
        <v>0</v>
      </c>
      <c r="G8">
        <f t="shared" si="7"/>
        <v>0</v>
      </c>
      <c r="H8">
        <f t="shared" si="7"/>
        <v>0</v>
      </c>
    </row>
    <row r="9" spans="1:8" x14ac:dyDescent="0.35">
      <c r="A9" s="1" t="s">
        <v>50</v>
      </c>
      <c r="C9">
        <f>COUNTIF(C27:C90,0)</f>
        <v>1</v>
      </c>
      <c r="D9">
        <f t="shared" ref="D9:H9" si="8">COUNTIF(D27:D90,0)</f>
        <v>0</v>
      </c>
      <c r="E9">
        <f t="shared" si="8"/>
        <v>0</v>
      </c>
      <c r="F9">
        <f t="shared" si="8"/>
        <v>0</v>
      </c>
      <c r="G9">
        <f t="shared" si="8"/>
        <v>0</v>
      </c>
      <c r="H9">
        <f t="shared" si="8"/>
        <v>0</v>
      </c>
    </row>
    <row r="10" spans="1:8" s="3" customFormat="1" x14ac:dyDescent="0.35"/>
    <row r="11" spans="1:8" s="1" customFormat="1" x14ac:dyDescent="0.35">
      <c r="B11" s="5"/>
      <c r="C11" s="1" t="s">
        <v>3</v>
      </c>
      <c r="D11" s="1" t="s">
        <v>4</v>
      </c>
      <c r="E11" s="1" t="s">
        <v>5</v>
      </c>
      <c r="F11" s="1" t="s">
        <v>6</v>
      </c>
      <c r="G11" s="1" t="s">
        <v>7</v>
      </c>
      <c r="H11" s="1" t="s">
        <v>8</v>
      </c>
    </row>
    <row r="12" spans="1:8" x14ac:dyDescent="0.35">
      <c r="A12" s="1" t="s">
        <v>84</v>
      </c>
      <c r="B12" s="2" t="s">
        <v>52</v>
      </c>
      <c r="C12">
        <v>2</v>
      </c>
      <c r="D12">
        <v>2</v>
      </c>
      <c r="E12">
        <v>2</v>
      </c>
      <c r="F12">
        <v>2</v>
      </c>
      <c r="G12">
        <v>2</v>
      </c>
      <c r="H12">
        <v>2</v>
      </c>
    </row>
    <row r="13" spans="1:8" x14ac:dyDescent="0.35">
      <c r="A13" s="1"/>
      <c r="B13" s="2" t="s">
        <v>111</v>
      </c>
      <c r="C13">
        <v>2</v>
      </c>
      <c r="D13">
        <v>2</v>
      </c>
      <c r="E13">
        <v>2</v>
      </c>
      <c r="F13">
        <v>0</v>
      </c>
      <c r="G13">
        <v>0</v>
      </c>
      <c r="H13">
        <v>0</v>
      </c>
    </row>
    <row r="14" spans="1:8" x14ac:dyDescent="0.35">
      <c r="A14" s="1"/>
      <c r="B14" s="2" t="s">
        <v>112</v>
      </c>
      <c r="C14">
        <v>2</v>
      </c>
      <c r="D14">
        <v>2</v>
      </c>
      <c r="E14">
        <v>2</v>
      </c>
      <c r="F14">
        <v>2</v>
      </c>
      <c r="G14">
        <v>2</v>
      </c>
      <c r="H14">
        <v>2</v>
      </c>
    </row>
    <row r="15" spans="1:8" ht="29" x14ac:dyDescent="0.35">
      <c r="A15" s="1"/>
      <c r="B15" s="2" t="s">
        <v>113</v>
      </c>
      <c r="C15">
        <v>0</v>
      </c>
      <c r="D15">
        <v>0</v>
      </c>
      <c r="E15">
        <v>0</v>
      </c>
      <c r="F15">
        <v>0</v>
      </c>
      <c r="G15">
        <v>0</v>
      </c>
      <c r="H15">
        <v>0</v>
      </c>
    </row>
    <row r="16" spans="1:8" x14ac:dyDescent="0.35">
      <c r="A16" s="1"/>
      <c r="B16" s="2" t="s">
        <v>114</v>
      </c>
      <c r="C16">
        <v>2</v>
      </c>
      <c r="D16">
        <v>2</v>
      </c>
      <c r="E16">
        <v>2</v>
      </c>
      <c r="F16">
        <v>2</v>
      </c>
      <c r="G16">
        <v>2</v>
      </c>
      <c r="H16">
        <v>2</v>
      </c>
    </row>
    <row r="17" spans="1:9" x14ac:dyDescent="0.35">
      <c r="A17" s="1"/>
      <c r="B17" s="2" t="s">
        <v>115</v>
      </c>
      <c r="C17">
        <v>2</v>
      </c>
      <c r="D17">
        <v>2</v>
      </c>
      <c r="E17">
        <v>2</v>
      </c>
      <c r="F17">
        <v>2</v>
      </c>
      <c r="G17">
        <v>2</v>
      </c>
      <c r="H17">
        <v>2</v>
      </c>
    </row>
    <row r="18" spans="1:9" x14ac:dyDescent="0.35">
      <c r="A18" s="1"/>
    </row>
    <row r="19" spans="1:9" x14ac:dyDescent="0.35">
      <c r="A19" s="1"/>
    </row>
    <row r="20" spans="1:9" x14ac:dyDescent="0.35">
      <c r="A20" s="1"/>
    </row>
    <row r="21" spans="1:9" x14ac:dyDescent="0.35">
      <c r="A21" s="1"/>
    </row>
    <row r="22" spans="1:9" x14ac:dyDescent="0.35">
      <c r="A22" s="1"/>
    </row>
    <row r="23" spans="1:9" x14ac:dyDescent="0.35">
      <c r="A23" s="1"/>
    </row>
    <row r="24" spans="1:9" x14ac:dyDescent="0.35">
      <c r="A24" s="1"/>
    </row>
    <row r="25" spans="1:9" x14ac:dyDescent="0.35">
      <c r="A25" s="1"/>
    </row>
    <row r="26" spans="1:9" s="3" customFormat="1" x14ac:dyDescent="0.35">
      <c r="F26" s="4"/>
      <c r="G26" s="4"/>
      <c r="H26" s="4"/>
      <c r="I26" s="4"/>
    </row>
    <row r="27" spans="1:9" x14ac:dyDescent="0.35">
      <c r="B27" s="2" t="s">
        <v>116</v>
      </c>
      <c r="C27">
        <v>1</v>
      </c>
      <c r="D27">
        <v>1</v>
      </c>
      <c r="E27">
        <v>1</v>
      </c>
    </row>
    <row r="28" spans="1:9" x14ac:dyDescent="0.35">
      <c r="B28" s="2" t="s">
        <v>117</v>
      </c>
      <c r="C28">
        <v>1</v>
      </c>
      <c r="D28">
        <v>1</v>
      </c>
      <c r="E28">
        <v>1</v>
      </c>
    </row>
    <row r="29" spans="1:9" x14ac:dyDescent="0.35">
      <c r="B29" s="2" t="s">
        <v>118</v>
      </c>
      <c r="C29">
        <v>0</v>
      </c>
    </row>
    <row r="36" spans="2:2" x14ac:dyDescent="0.35">
      <c r="B36"/>
    </row>
    <row r="50" spans="2:2" x14ac:dyDescent="0.35">
      <c r="B50"/>
    </row>
    <row r="51" spans="2:2" x14ac:dyDescent="0.35">
      <c r="B51"/>
    </row>
    <row r="65" spans="2:2" x14ac:dyDescent="0.35">
      <c r="B65" s="6"/>
    </row>
    <row r="71" spans="2:2" ht="15.5" x14ac:dyDescent="0.35">
      <c r="B71" s="8"/>
    </row>
    <row r="72" spans="2:2" ht="15.5" x14ac:dyDescent="0.35">
      <c r="B72" s="9"/>
    </row>
    <row r="73" spans="2:2" ht="15.5" x14ac:dyDescent="0.35">
      <c r="B73" s="8"/>
    </row>
    <row r="74" spans="2:2" ht="15.5" x14ac:dyDescent="0.35">
      <c r="B74" s="8"/>
    </row>
    <row r="75" spans="2:2" ht="15.5" x14ac:dyDescent="0.35">
      <c r="B75" s="9"/>
    </row>
    <row r="76" spans="2:2" ht="15.5" x14ac:dyDescent="0.35">
      <c r="B76" s="9"/>
    </row>
    <row r="77" spans="2:2" ht="15.5" x14ac:dyDescent="0.35">
      <c r="B77" s="8"/>
    </row>
    <row r="78" spans="2:2" x14ac:dyDescent="0.35">
      <c r="B78" s="6"/>
    </row>
  </sheetData>
  <conditionalFormatting sqref="D12:D25">
    <cfRule type="iconSet" priority="1339">
      <iconSet iconSet="3Symbols">
        <cfvo type="percent" val="0"/>
        <cfvo type="num" val="1"/>
        <cfvo type="num" val="2"/>
      </iconSet>
    </cfRule>
  </conditionalFormatting>
  <conditionalFormatting sqref="E12:E17">
    <cfRule type="iconSet" priority="2">
      <iconSet iconSet="3Symbols">
        <cfvo type="percent" val="0"/>
        <cfvo type="num" val="1"/>
        <cfvo type="num" val="2"/>
      </iconSet>
    </cfRule>
  </conditionalFormatting>
  <conditionalFormatting sqref="E18:E25">
    <cfRule type="iconSet" priority="1341">
      <iconSet iconSet="3Symbols">
        <cfvo type="percent" val="0"/>
        <cfvo type="num" val="1"/>
        <cfvo type="num" val="2"/>
      </iconSet>
    </cfRule>
  </conditionalFormatting>
  <conditionalFormatting sqref="F52:I52 H51:I51 F30:I50 F38:F61">
    <cfRule type="iconSet" priority="1085">
      <iconSet iconSet="3Symbols">
        <cfvo type="percent" val="0"/>
        <cfvo type="num" val="1"/>
        <cfvo type="num" val="2"/>
      </iconSet>
    </cfRule>
  </conditionalFormatting>
  <conditionalFormatting sqref="G58 C52:I56 C57:G57 I57 C51:F51 H51:I51 H59:H64 C26:I26 C40:I50 C12:C25 C27:D44 F30:I39 E27:E39 F38:F61 F12:I25 C27:E28">
    <cfRule type="iconSet" priority="5">
      <iconSet iconSet="3Symbols">
        <cfvo type="percent" val="0"/>
        <cfvo type="num" val="1"/>
        <cfvo type="num" val="2"/>
      </iconSet>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Avg</vt:lpstr>
      <vt:lpstr>c1</vt:lpstr>
      <vt:lpstr>c2</vt:lpstr>
      <vt:lpstr>c3</vt:lpstr>
      <vt:lpstr>c4</vt:lpstr>
      <vt:lpstr>c5</vt:lpstr>
      <vt:lpstr>c6</vt:lpstr>
      <vt:lpstr>c7</vt:lpstr>
      <vt:lpstr>c8</vt:lpstr>
      <vt:lpstr>c9</vt:lpstr>
      <vt:lpstr>c10</vt:lpstr>
      <vt:lpstr>c11</vt:lpstr>
      <vt:lpstr>c12</vt:lpstr>
      <vt:lpstr>c13</vt:lpstr>
      <vt:lpstr>c14</vt:lpstr>
      <vt:lpstr>c15</vt:lpstr>
      <vt:lpstr>c16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dc:creator>
  <cp:lastModifiedBy>Safan, Aya Mohamed Abdelaziz</cp:lastModifiedBy>
  <dcterms:created xsi:type="dcterms:W3CDTF">2025-09-19T13:20:01Z</dcterms:created>
  <dcterms:modified xsi:type="dcterms:W3CDTF">2026-02-06T15:09:19Z</dcterms:modified>
</cp:coreProperties>
</file>